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120" windowWidth="15312" windowHeight="7992" tabRatio="600" firstSheet="0" activeTab="0"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52511" fullCalcOnLoad="1"/>
</workbook>
</file>

<file path=xl/styles.xml><?xml version="1.0" encoding="utf-8"?>
<styleSheet xmlns="http://schemas.openxmlformats.org/spreadsheetml/2006/main">
  <numFmts count="0"/>
  <fonts count="21">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b val="1"/>
      <color theme="1"/>
      <sz val="11"/>
      <scheme val="minor"/>
    </font>
    <font>
      <name val="Calibri"/>
      <family val="2"/>
      <color theme="0"/>
      <sz val="10"/>
      <scheme val="minor"/>
    </font>
    <font>
      <name val="Calibri"/>
      <family val="2"/>
      <sz val="10"/>
    </font>
    <font>
      <name val="Calibri"/>
      <family val="2"/>
      <b val="1"/>
      <color rgb="FF222222"/>
      <sz val="10"/>
      <scheme val="minor"/>
    </font>
    <font>
      <name val="Calibri"/>
      <family val="2"/>
      <b val="1"/>
      <sz val="11"/>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20" fillId="0" borderId="0"/>
    <xf numFmtId="0" fontId="1" fillId="0" borderId="0"/>
  </cellStyleXfs>
  <cellXfs count="237">
    <xf numFmtId="0" fontId="0" fillId="0" borderId="0" pivotButton="0" quotePrefix="0" xfId="0"/>
    <xf numFmtId="0" fontId="2" fillId="0" borderId="0" pivotButton="0" quotePrefix="0" xfId="0"/>
    <xf numFmtId="0" fontId="2" fillId="0" borderId="1" pivotButton="0" quotePrefix="0" xfId="0"/>
    <xf numFmtId="0" fontId="2" fillId="0" borderId="2" pivotButton="0" quotePrefix="0" xfId="0"/>
    <xf numFmtId="0" fontId="2" fillId="0" borderId="1" applyAlignment="1" pivotButton="0" quotePrefix="0" xfId="0">
      <alignment horizontal="center"/>
    </xf>
    <xf numFmtId="0" fontId="4" fillId="0" borderId="0" pivotButton="0" quotePrefix="0" xfId="0"/>
    <xf numFmtId="0" fontId="4" fillId="0" borderId="1" applyAlignment="1" pivotButton="0" quotePrefix="0" xfId="0">
      <alignment horizontal="center"/>
    </xf>
    <xf numFmtId="0" fontId="4" fillId="0" borderId="1" applyAlignment="1" pivotButton="0" quotePrefix="0" xfId="0">
      <alignment horizontal="center" vertic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4" fillId="2" borderId="14" applyAlignment="1" pivotButton="0" quotePrefix="0" xfId="0">
      <alignment horizontal="center"/>
    </xf>
    <xf numFmtId="0" fontId="4" fillId="2" borderId="1" applyAlignment="1" pivotButton="0" quotePrefix="0" xfId="0">
      <alignment horizontal="center"/>
    </xf>
    <xf numFmtId="0" fontId="6" fillId="2" borderId="1" applyAlignment="1" pivotButton="0" quotePrefix="0" xfId="0">
      <alignment horizontal="center"/>
    </xf>
    <xf numFmtId="0" fontId="4" fillId="0" borderId="0"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4" fillId="0" borderId="1" applyAlignment="1" pivotButton="0" quotePrefix="0" xfId="0">
      <alignment horizontal="center" vertic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0" applyAlignment="1" pivotButton="0" quotePrefix="0" xfId="0">
      <alignment horizontal="lef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5" fillId="0" borderId="1" applyAlignment="1" pivotButton="0" quotePrefix="0" xfId="0">
      <alignment horizontal="center"/>
    </xf>
    <xf numFmtId="0" fontId="15"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2" fillId="0" borderId="2"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horizontal="center"/>
    </xf>
    <xf numFmtId="0" fontId="2" fillId="0" borderId="1" applyAlignment="1" pivotButton="0" quotePrefix="0" xfId="0">
      <alignment vertical="top"/>
    </xf>
    <xf numFmtId="0" fontId="2" fillId="0" borderId="2" applyAlignment="1" pivotButton="0" quotePrefix="0" xfId="0">
      <alignment horizontal="left" vertical="top" wrapText="1"/>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2" fillId="0" borderId="3"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4" fillId="2" borderId="1" applyAlignment="1" pivotButton="0" quotePrefix="0" xfId="0">
      <alignment horizontal="center" vertical="center" wrapText="1"/>
    </xf>
    <xf numFmtId="0" fontId="4" fillId="2" borderId="1" applyAlignment="1" pivotButton="0" quotePrefix="0" xfId="0">
      <alignment horizontal="center" vertical="center"/>
    </xf>
    <xf numFmtId="0" fontId="2" fillId="0" borderId="0" pivotButton="0" quotePrefix="0" xfId="0"/>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vertical="top" wrapText="1"/>
    </xf>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4" fillId="2" borderId="2" applyAlignment="1" pivotButton="0" quotePrefix="0" xfId="0">
      <alignment horizontal="center" vertical="center"/>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xf>
    <xf numFmtId="0" fontId="3" fillId="10" borderId="2" applyAlignment="1" pivotButton="0" quotePrefix="0" xfId="0">
      <alignment horizontal="center"/>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5" applyAlignment="1" pivotButton="0" quotePrefix="0" xfId="0">
      <alignment horizontal="center"/>
    </xf>
    <xf numFmtId="0" fontId="3" fillId="10" borderId="9" applyAlignment="1" pivotButton="0" quotePrefix="0" xfId="0">
      <alignment horizontal="center" vertical="center"/>
    </xf>
    <xf numFmtId="0" fontId="3" fillId="10" borderId="2" applyAlignment="1" pivotButton="0" quotePrefix="0" xfId="0">
      <alignment horizontal="center" vertical="top"/>
    </xf>
    <xf numFmtId="0" fontId="4" fillId="10" borderId="0" pivotButton="0" quotePrefix="0" xfId="0"/>
    <xf numFmtId="0" fontId="4" fillId="10" borderId="7" pivotButton="0" quotePrefix="0" xfId="0"/>
    <xf numFmtId="0" fontId="17" fillId="10" borderId="0" applyAlignment="1" pivotButton="0" quotePrefix="0" xfId="0">
      <alignment vertical="top"/>
    </xf>
    <xf numFmtId="0" fontId="17" fillId="10" borderId="8" applyAlignment="1" pivotButton="0" quotePrefix="0" xfId="0">
      <alignment vertical="top"/>
    </xf>
    <xf numFmtId="0" fontId="4" fillId="10" borderId="1" pivotButton="0" quotePrefix="0" xfId="0"/>
    <xf numFmtId="0" fontId="17" fillId="10" borderId="1" pivotButton="0" quotePrefix="0" xfId="0"/>
    <xf numFmtId="0" fontId="17"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4" applyAlignment="1" pivotButton="0" quotePrefix="0" xfId="0">
      <alignment horizontal="center" vertical="center"/>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0" fontId="4" fillId="10" borderId="15" applyAlignment="1" pivotButton="0" quotePrefix="0" xfId="0">
      <alignment horizontal="center"/>
    </xf>
    <xf numFmtId="49" fontId="2" fillId="0" borderId="1"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xf>
    <xf numFmtId="0" fontId="2" fillId="0" borderId="4" applyAlignment="1" pivotButton="0" quotePrefix="0" xfId="0">
      <alignment vertical="top" wrapText="1"/>
    </xf>
    <xf numFmtId="0" fontId="2" fillId="0" borderId="3" applyAlignment="1" pivotButton="0" quotePrefix="0" xfId="0">
      <alignment vertical="top" wrapText="1"/>
    </xf>
    <xf numFmtId="0" fontId="2" fillId="0" borderId="4" applyAlignment="1" pivotButton="0" quotePrefix="0" xfId="0">
      <alignment vertical="top"/>
    </xf>
    <xf numFmtId="0" fontId="2" fillId="0" borderId="2" applyAlignment="1" pivotButton="0" quotePrefix="0" xfId="0">
      <alignment vertical="top" wrapText="1"/>
    </xf>
    <xf numFmtId="0" fontId="2" fillId="0" borderId="4" applyAlignment="1" pivotButton="0" quotePrefix="0" xfId="0">
      <alignment vertical="top"/>
    </xf>
    <xf numFmtId="0" fontId="2" fillId="0" borderId="3" applyAlignment="1" pivotButton="0" quotePrefix="0" xfId="0">
      <alignment vertical="top"/>
    </xf>
    <xf numFmtId="0" fontId="2" fillId="0" borderId="2" applyAlignment="1" pivotButton="0" quotePrefix="0" xfId="0">
      <alignment vertical="center"/>
    </xf>
    <xf numFmtId="0" fontId="2" fillId="0" borderId="4" applyAlignment="1" pivotButton="0" quotePrefix="0" xfId="0">
      <alignment vertical="center"/>
    </xf>
    <xf numFmtId="0" fontId="2" fillId="0" borderId="3" applyAlignment="1" pivotButton="0" quotePrefix="0" xfId="0">
      <alignment vertical="center"/>
    </xf>
    <xf numFmtId="0" fontId="4"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center" vertical="center"/>
    </xf>
    <xf numFmtId="0" fontId="3" fillId="10" borderId="12" applyAlignment="1" pivotButton="0" quotePrefix="0" xfId="0">
      <alignment horizontal="center"/>
    </xf>
    <xf numFmtId="0" fontId="3" fillId="10" borderId="13" applyAlignment="1" pivotButton="0" quotePrefix="0" xfId="0">
      <alignment horizontal="center"/>
    </xf>
    <xf numFmtId="0" fontId="3" fillId="10" borderId="14" applyAlignment="1" pivotButton="0" quotePrefix="0" xfId="0">
      <alignment horizontal="center"/>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2" applyAlignment="1" pivotButton="0" quotePrefix="0" xfId="0">
      <alignment horizontal="center" vertical="center"/>
    </xf>
    <xf numFmtId="0" fontId="4" fillId="2" borderId="4" applyAlignment="1" pivotButton="0" quotePrefix="0" xfId="0">
      <alignment horizontal="center" vertical="center"/>
    </xf>
    <xf numFmtId="0" fontId="4" fillId="2" borderId="3" applyAlignment="1" pivotButton="0" quotePrefix="0" xfId="0">
      <alignment horizontal="center" vertical="center"/>
    </xf>
    <xf numFmtId="0" fontId="2" fillId="0" borderId="2" applyAlignment="1" pivotButton="0" quotePrefix="0" xfId="0">
      <alignment horizontal="left" vertical="top" wrapText="1"/>
    </xf>
    <xf numFmtId="0" fontId="2" fillId="0" borderId="4" applyAlignment="1" pivotButton="0" quotePrefix="0" xfId="0">
      <alignment horizontal="left" vertical="top" wrapText="1"/>
    </xf>
    <xf numFmtId="0" fontId="2" fillId="0" borderId="3" applyAlignment="1" pivotButton="0" quotePrefix="0" xfId="0">
      <alignment horizontal="left" vertical="top" wrapText="1"/>
    </xf>
    <xf numFmtId="0" fontId="2" fillId="0" borderId="4" applyAlignment="1" pivotButton="0" quotePrefix="0" xfId="0">
      <alignment horizontal="left" vertical="top"/>
    </xf>
    <xf numFmtId="0" fontId="2" fillId="0" borderId="3" applyAlignment="1" pivotButton="0" quotePrefix="0" xfId="0">
      <alignment horizontal="left" vertical="top"/>
    </xf>
    <xf numFmtId="0" fontId="3" fillId="10" borderId="9" applyAlignment="1" pivotButton="0" quotePrefix="0" xfId="0">
      <alignment horizontal="center"/>
    </xf>
    <xf numFmtId="0" fontId="3" fillId="10" borderId="5" applyAlignment="1" pivotButton="0" quotePrefix="0" xfId="0">
      <alignment horizontal="center"/>
    </xf>
    <xf numFmtId="0" fontId="3" fillId="10" borderId="6" applyAlignment="1" pivotButton="0" quotePrefix="0" xfId="0">
      <alignment horizontal="center"/>
    </xf>
    <xf numFmtId="0" fontId="10" fillId="9" borderId="9" applyAlignment="1" pivotButton="0" quotePrefix="0" xfId="0">
      <alignment horizontal="center" wrapText="1"/>
    </xf>
    <xf numFmtId="0" fontId="10" fillId="9" borderId="5" applyAlignment="1" pivotButton="0" quotePrefix="0" xfId="0">
      <alignment horizontal="center" wrapText="1"/>
    </xf>
    <xf numFmtId="0" fontId="10" fillId="9" borderId="6" applyAlignment="1" pivotButton="0" quotePrefix="0" xfId="0">
      <alignment horizontal="center" wrapText="1"/>
    </xf>
    <xf numFmtId="0" fontId="10" fillId="9" borderId="10" applyAlignment="1" pivotButton="0" quotePrefix="0" xfId="0">
      <alignment horizontal="center" wrapText="1"/>
    </xf>
    <xf numFmtId="0" fontId="10" fillId="9" borderId="0" applyAlignment="1" pivotButton="0" quotePrefix="0" xfId="0">
      <alignment horizontal="center" wrapText="1"/>
    </xf>
    <xf numFmtId="0" fontId="10" fillId="9" borderId="15" applyAlignment="1" pivotButton="0" quotePrefix="0" xfId="0">
      <alignment horizontal="center" wrapText="1"/>
    </xf>
    <xf numFmtId="0" fontId="10" fillId="9" borderId="11" applyAlignment="1" pivotButton="0" quotePrefix="0" xfId="0">
      <alignment horizontal="center" wrapText="1"/>
    </xf>
    <xf numFmtId="0" fontId="10" fillId="9" borderId="7" applyAlignment="1" pivotButton="0" quotePrefix="0" xfId="0">
      <alignment horizontal="center" wrapText="1"/>
    </xf>
    <xf numFmtId="0" fontId="10" fillId="9" borderId="8" applyAlignment="1" pivotButton="0" quotePrefix="0" xfId="0">
      <alignment horizontal="center" wrapText="1"/>
    </xf>
    <xf numFmtId="0" fontId="4" fillId="0" borderId="0" applyAlignment="1" pivotButton="0" quotePrefix="0" xfId="0">
      <alignment horizontal="center"/>
    </xf>
    <xf numFmtId="0" fontId="2" fillId="0" borderId="12" applyAlignment="1" pivotButton="0" quotePrefix="0" xfId="0">
      <alignment horizontal="left"/>
    </xf>
    <xf numFmtId="0" fontId="2" fillId="0" borderId="13" applyAlignment="1" pivotButton="0" quotePrefix="0" xfId="0">
      <alignment horizontal="left"/>
    </xf>
    <xf numFmtId="0" fontId="2" fillId="0" borderId="14" applyAlignment="1" pivotButton="0" quotePrefix="0" xfId="0">
      <alignment horizontal="left"/>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19" fillId="0" borderId="2" applyAlignment="1" pivotButton="0" quotePrefix="0" xfId="0">
      <alignment horizontal="left" vertical="top" wrapText="1"/>
    </xf>
    <xf numFmtId="0" fontId="19" fillId="0" borderId="3" applyAlignment="1" pivotButton="0" quotePrefix="0" xfId="0">
      <alignment horizontal="left" vertical="top"/>
    </xf>
    <xf numFmtId="0" fontId="2" fillId="0" borderId="4" applyAlignment="1" pivotButton="0" quotePrefix="0" xfId="0">
      <alignment horizontal="left" vertical="top"/>
    </xf>
    <xf numFmtId="0" fontId="4" fillId="0" borderId="2" applyAlignment="1" pivotButton="0" quotePrefix="0" xfId="0">
      <alignment horizontal="center" vertical="center"/>
    </xf>
    <xf numFmtId="0" fontId="4" fillId="0" borderId="4" applyAlignment="1" pivotButton="0" quotePrefix="0" xfId="0">
      <alignment horizontal="center" vertical="center"/>
    </xf>
    <xf numFmtId="0" fontId="4" fillId="0" borderId="3" applyAlignment="1" pivotButton="0" quotePrefix="0" xfId="0">
      <alignment horizontal="center" vertical="center"/>
    </xf>
    <xf numFmtId="0" fontId="4" fillId="2" borderId="12" applyAlignment="1" pivotButton="0" quotePrefix="0" xfId="0">
      <alignment horizontal="center"/>
    </xf>
    <xf numFmtId="0" fontId="4" fillId="2" borderId="13" applyAlignment="1" pivotButton="0" quotePrefix="0" xfId="0">
      <alignment horizontal="center"/>
    </xf>
    <xf numFmtId="0" fontId="4" fillId="2" borderId="14" applyAlignment="1" pivotButton="0" quotePrefix="0" xfId="0">
      <alignment horizontal="center"/>
    </xf>
    <xf numFmtId="0" fontId="3" fillId="10" borderId="9" applyAlignment="1" pivotButton="0" quotePrefix="0" xfId="0">
      <alignment horizontal="center" vertical="center"/>
    </xf>
    <xf numFmtId="0" fontId="3" fillId="10" borderId="6" applyAlignment="1" pivotButton="0" quotePrefix="0" xfId="0">
      <alignment horizontal="center" vertical="center"/>
    </xf>
    <xf numFmtId="0" fontId="3" fillId="10" borderId="11" applyAlignment="1" pivotButton="0" quotePrefix="0" xfId="0">
      <alignment horizontal="center" vertical="center"/>
    </xf>
    <xf numFmtId="0" fontId="3" fillId="10" borderId="8" applyAlignment="1" pivotButton="0" quotePrefix="0" xfId="0">
      <alignment horizontal="center" vertical="center"/>
    </xf>
    <xf numFmtId="0" fontId="4" fillId="2" borderId="10" applyAlignment="1" pivotButton="0" quotePrefix="0" xfId="0">
      <alignment horizontal="center" vertical="center"/>
    </xf>
    <xf numFmtId="0" fontId="4" fillId="2" borderId="11" applyAlignment="1" pivotButton="0" quotePrefix="0" xfId="0">
      <alignment horizontal="center" vertical="center"/>
    </xf>
    <xf numFmtId="0" fontId="5" fillId="0" borderId="2" applyAlignment="1" pivotButton="0" quotePrefix="0" xfId="0">
      <alignment horizontal="center" vertical="center"/>
    </xf>
    <xf numFmtId="0" fontId="5" fillId="0" borderId="4" applyAlignment="1" pivotButton="0" quotePrefix="0" xfId="0">
      <alignment horizontal="center" vertical="center"/>
    </xf>
    <xf numFmtId="0" fontId="5" fillId="0" borderId="3" applyAlignment="1" pivotButton="0" quotePrefix="0" xfId="0">
      <alignment horizontal="center" vertical="center"/>
    </xf>
    <xf numFmtId="0" fontId="4" fillId="0" borderId="7" applyAlignment="1" pivotButton="0" quotePrefix="0" xfId="0">
      <alignment horizontal="center"/>
    </xf>
    <xf numFmtId="0" fontId="4" fillId="10" borderId="10" applyAlignment="1" pivotButton="0" quotePrefix="0" xfId="0">
      <alignment horizontal="center"/>
    </xf>
    <xf numFmtId="0" fontId="4" fillId="10" borderId="0" applyAlignment="1" pivotButton="0" quotePrefix="0" xfId="0">
      <alignment horizontal="center"/>
    </xf>
    <xf numFmtId="0" fontId="4" fillId="10" borderId="15" applyAlignment="1" pivotButton="0" quotePrefix="0" xfId="0">
      <alignment horizontal="center"/>
    </xf>
    <xf numFmtId="0" fontId="3" fillId="10" borderId="1" applyAlignment="1" pivotButton="0" quotePrefix="0" xfId="0">
      <alignment horizontal="left" vertical="top" wrapText="1"/>
    </xf>
    <xf numFmtId="0" fontId="3" fillId="10" borderId="1" applyAlignment="1" pivotButton="0" quotePrefix="0" xfId="0">
      <alignment horizontal="left" vertical="top"/>
    </xf>
    <xf numFmtId="0" fontId="3" fillId="10" borderId="3" applyAlignment="1" pivotButton="0" quotePrefix="0" xfId="0">
      <alignment horizontal="center" vertical="center"/>
    </xf>
    <xf numFmtId="0" fontId="3" fillId="10" borderId="1" applyAlignment="1" pivotButton="0" quotePrefix="0" xfId="0">
      <alignment horizontal="center" vertical="center"/>
    </xf>
    <xf numFmtId="0" fontId="3" fillId="10" borderId="2" applyAlignment="1" pivotButton="0" quotePrefix="0" xfId="0">
      <alignment horizontal="center" vertical="center"/>
    </xf>
    <xf numFmtId="0" fontId="4" fillId="2" borderId="1" applyAlignment="1" pivotButton="0" quotePrefix="0" xfId="0">
      <alignment horizontal="center" vertical="center" wrapText="1"/>
    </xf>
    <xf numFmtId="0" fontId="4" fillId="10" borderId="11" applyAlignment="1" pivotButton="0" quotePrefix="0" xfId="0">
      <alignment horizontal="center"/>
    </xf>
    <xf numFmtId="0" fontId="4" fillId="10" borderId="7" applyAlignment="1" pivotButton="0" quotePrefix="0" xfId="0">
      <alignment horizontal="center"/>
    </xf>
    <xf numFmtId="0" fontId="4" fillId="10" borderId="8" applyAlignment="1" pivotButton="0" quotePrefix="0" xfId="0">
      <alignment horizontal="center"/>
    </xf>
    <xf numFmtId="0" fontId="3" fillId="10" borderId="0" applyAlignment="1" pivotButton="0" quotePrefix="0" xfId="0">
      <alignment horizontal="center" vertical="center"/>
    </xf>
    <xf numFmtId="0" fontId="4" fillId="0" borderId="0" applyAlignment="1" pivotButton="0" quotePrefix="0" xfId="0">
      <alignment horizontal="center"/>
    </xf>
    <xf numFmtId="0" fontId="7" fillId="0" borderId="2" applyAlignment="1" pivotButton="0" quotePrefix="0" xfId="0">
      <alignment horizontal="left" vertical="top" wrapText="1"/>
    </xf>
    <xf numFmtId="0" fontId="7" fillId="0" borderId="3" applyAlignment="1" pivotButton="0" quotePrefix="0" xfId="0">
      <alignment horizontal="left" vertical="top"/>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15" fillId="10" borderId="1" applyAlignment="1" pivotButton="0" quotePrefix="0" xfId="0">
      <alignment horizontal="left" vertical="top" wrapText="1"/>
    </xf>
    <xf numFmtId="49" fontId="15" fillId="10" borderId="1" applyAlignment="1" pivotButton="0" quotePrefix="0" xfId="0">
      <alignment horizontal="left" vertical="top" wrapText="1"/>
    </xf>
    <xf numFmtId="1" fontId="3" fillId="10" borderId="9" applyAlignment="1" pivotButton="0" quotePrefix="0" xfId="0">
      <alignment horizontal="center" vertical="center"/>
    </xf>
    <xf numFmtId="0" fontId="4" fillId="10" borderId="1" applyAlignment="1" pivotButton="0" quotePrefix="0" xfId="0">
      <alignment horizontal="center"/>
    </xf>
    <xf numFmtId="0" fontId="13" fillId="10" borderId="5" applyAlignment="1" pivotButton="0" quotePrefix="0" xfId="0">
      <alignment horizontal="center" vertical="top"/>
    </xf>
    <xf numFmtId="0" fontId="0" fillId="0" borderId="9" applyAlignment="1" pivotButton="0" quotePrefix="0" xfId="0">
      <alignment horizontal="center" vertical="top" wrapText="1"/>
    </xf>
    <xf numFmtId="0" fontId="0" fillId="0" borderId="6" applyAlignment="1" pivotButton="0" quotePrefix="0" xfId="0">
      <alignment horizontal="center" vertical="top" wrapText="1"/>
    </xf>
    <xf numFmtId="0" fontId="0" fillId="0" borderId="10" applyAlignment="1" pivotButton="0" quotePrefix="0" xfId="0">
      <alignment horizontal="center" vertical="top" wrapText="1"/>
    </xf>
    <xf numFmtId="0" fontId="0" fillId="0" borderId="15" applyAlignment="1" pivotButton="0" quotePrefix="0" xfId="0">
      <alignment horizontal="center" vertical="top" wrapText="1"/>
    </xf>
    <xf numFmtId="0" fontId="0" fillId="0" borderId="11" applyAlignment="1" pivotButton="0" quotePrefix="0" xfId="0">
      <alignment horizontal="center" vertical="top" wrapText="1"/>
    </xf>
    <xf numFmtId="0" fontId="0" fillId="0" borderId="8" applyAlignment="1" pivotButton="0" quotePrefix="0" xfId="0">
      <alignment horizontal="center" vertical="top" wrapText="1"/>
    </xf>
    <xf numFmtId="0" fontId="0" fillId="0" borderId="9" applyAlignment="1" pivotButton="0" quotePrefix="0" xfId="0">
      <alignment horizontal="left" vertical="top" wrapText="1"/>
    </xf>
    <xf numFmtId="0" fontId="0" fillId="0" borderId="6" applyAlignment="1" pivotButton="0" quotePrefix="0" xfId="0">
      <alignment horizontal="left" vertical="top" wrapText="1"/>
    </xf>
    <xf numFmtId="0" fontId="13" fillId="10" borderId="12" applyAlignment="1" pivotButton="0" quotePrefix="0" xfId="0">
      <alignment horizontal="center" vertical="top"/>
    </xf>
    <xf numFmtId="0" fontId="13" fillId="10" borderId="14" applyAlignment="1" pivotButton="0" quotePrefix="0" xfId="0">
      <alignment horizontal="center" vertical="top"/>
    </xf>
    <xf numFmtId="0" fontId="12" fillId="0" borderId="12" applyAlignment="1" pivotButton="0" quotePrefix="0" xfId="0">
      <alignment horizontal="left" vertical="top" wrapText="1"/>
    </xf>
    <xf numFmtId="0" fontId="12" fillId="0" borderId="14" applyAlignment="1" pivotButton="0" quotePrefix="0" xfId="0">
      <alignment horizontal="left" vertical="top" wrapText="1"/>
    </xf>
    <xf numFmtId="0" fontId="0" fillId="0" borderId="13" pivotButton="0" quotePrefix="0" xfId="0"/>
    <xf numFmtId="0" fontId="0" fillId="0" borderId="14" pivotButton="0" quotePrefix="0" xfId="0"/>
    <xf numFmtId="0" fontId="0" fillId="0" borderId="4" pivotButton="0" quotePrefix="0" xfId="0"/>
    <xf numFmtId="0" fontId="0" fillId="0" borderId="3" pivotButton="0" quotePrefix="0" xfId="0"/>
    <xf numFmtId="0" fontId="2" fillId="0" borderId="1" applyAlignment="1" pivotButton="0" quotePrefix="0" xfId="0">
      <alignment vertical="top" wrapText="1"/>
    </xf>
    <xf numFmtId="0" fontId="2" fillId="0" borderId="1" applyAlignment="1" pivotButton="0" quotePrefix="0" xfId="0">
      <alignment vertical="center"/>
    </xf>
    <xf numFmtId="0" fontId="0" fillId="0" borderId="5" pivotButton="0" quotePrefix="0" xfId="0"/>
    <xf numFmtId="0" fontId="0" fillId="0" borderId="6" pivotButton="0" quotePrefix="0" xfId="0"/>
    <xf numFmtId="0" fontId="2" fillId="0" borderId="1" applyAlignment="1" pivotButton="0" quotePrefix="0" xfId="0">
      <alignment horizontal="left"/>
    </xf>
    <xf numFmtId="0" fontId="10" fillId="9" borderId="1" applyAlignment="1" pivotButton="0" quotePrefix="0" xfId="0">
      <alignment horizontal="center" wrapText="1"/>
    </xf>
    <xf numFmtId="0" fontId="0" fillId="0" borderId="10" pivotButton="0" quotePrefix="0" xfId="0"/>
    <xf numFmtId="0" fontId="0" fillId="0" borderId="15" pivotButton="0" quotePrefix="0" xfId="0"/>
    <xf numFmtId="0" fontId="0" fillId="0" borderId="11" pivotButton="0" quotePrefix="0" xfId="0"/>
    <xf numFmtId="0" fontId="0" fillId="0" borderId="7" pivotButton="0" quotePrefix="0" xfId="0"/>
    <xf numFmtId="0" fontId="0" fillId="0" borderId="8" pivotButton="0" quotePrefix="0" xfId="0"/>
    <xf numFmtId="0" fontId="5" fillId="0" borderId="1" applyAlignment="1" pivotButton="0" quotePrefix="0" xfId="0">
      <alignment horizontal="center" vertical="center"/>
    </xf>
    <xf numFmtId="0" fontId="19" fillId="0" borderId="1" applyAlignment="1" pivotButton="0" quotePrefix="0" xfId="0">
      <alignment horizontal="left" vertical="top" wrapText="1"/>
    </xf>
    <xf numFmtId="0" fontId="4" fillId="10" borderId="4" applyAlignment="1" pivotButton="0" quotePrefix="0" xfId="0">
      <alignment horizontal="center"/>
    </xf>
    <xf numFmtId="0" fontId="7" fillId="0" borderId="1" applyAlignment="1" pivotButton="0" quotePrefix="0" xfId="0">
      <alignment horizontal="left" vertical="top" wrapText="1"/>
    </xf>
    <xf numFmtId="0" fontId="4" fillId="10" borderId="3" applyAlignment="1" pivotButton="0" quotePrefix="0" xfId="0">
      <alignment horizontal="center"/>
    </xf>
    <xf numFmtId="0" fontId="13" fillId="10" borderId="1" applyAlignment="1" pivotButton="0" quotePrefix="0" xfId="0">
      <alignment horizontal="center" vertical="top"/>
    </xf>
    <xf numFmtId="0" fontId="12" fillId="0" borderId="1" applyAlignment="1" pivotButton="0" quotePrefix="0" xfId="0">
      <alignment horizontal="left" vertical="top" wrapText="1"/>
    </xf>
    <xf numFmtId="0" fontId="0" fillId="0" borderId="2" applyAlignment="1" pivotButton="0" quotePrefix="0" xfId="0">
      <alignment horizontal="left" vertical="top" wrapText="1"/>
    </xf>
    <xf numFmtId="0" fontId="0" fillId="0" borderId="1" applyAlignment="1" pivotButton="0" quotePrefix="0" xfId="0">
      <alignment horizontal="center" vertical="top" wrapText="1"/>
    </xf>
  </cellXfs>
  <cellStyles count="4">
    <cellStyle name="Standaard"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tabSelected="1"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79" min="1" max="1"/>
    <col width="35.6640625" bestFit="1" customWidth="1" style="79" min="2" max="2"/>
    <col width="48.88671875" bestFit="1" customWidth="1" style="79" min="3" max="3"/>
    <col width="9.109375" customWidth="1" style="79" min="4" max="4"/>
    <col width="9.109375" customWidth="1" style="79" min="5" max="5"/>
    <col width="9.109375" customWidth="1" style="79" min="6" max="16384"/>
  </cols>
  <sheetData>
    <row r="1" ht="83.25" customHeight="1">
      <c r="A1" s="81" t="inlineStr">
        <is>
          <t>Loopbaanfasen van Donald Super</t>
        </is>
      </c>
      <c r="B1" s="213" t="n"/>
      <c r="C1" s="214" t="n"/>
    </row>
    <row r="2">
      <c r="A2" s="81" t="inlineStr">
        <is>
          <t>Leeftijd</t>
        </is>
      </c>
      <c r="B2" s="81" t="inlineStr">
        <is>
          <t>Loopbaanfase</t>
        </is>
      </c>
      <c r="C2" s="81" t="inlineStr">
        <is>
          <t>Omschrijving</t>
        </is>
      </c>
    </row>
    <row r="3">
      <c r="A3" s="124" t="inlineStr">
        <is>
          <t>15-24</t>
        </is>
      </c>
      <c r="B3" s="126" t="inlineStr">
        <is>
          <t>Verkenning</t>
        </is>
      </c>
      <c r="C3" s="38" t="inlineStr">
        <is>
          <t xml:space="preserve">Het in kaart brengen van het zelf en de werkende wereld
om het zelfbeeld te verduidelijken en de hierbij passende
beroepen vast te stellen.
</t>
        </is>
      </c>
    </row>
    <row r="4">
      <c r="A4" s="215" t="n"/>
      <c r="B4" s="215" t="n"/>
      <c r="C4" s="215" t="n"/>
    </row>
    <row r="5">
      <c r="A5" s="216" t="n"/>
      <c r="B5" s="216" t="n"/>
      <c r="C5" s="216" t="n"/>
    </row>
    <row r="6">
      <c r="A6" s="124" t="inlineStr">
        <is>
          <t>25-44</t>
        </is>
      </c>
      <c r="B6" s="126" t="inlineStr">
        <is>
          <t>Keuze</t>
        </is>
      </c>
      <c r="C6" s="38" t="inlineStr">
        <is>
          <t xml:space="preserve">De persoon kiest, wellicht na een of twee valse starts,
voor een bepaald beroep en probeert zichzelf hierin te 
bewijzen.
</t>
        </is>
      </c>
    </row>
    <row r="7">
      <c r="A7" s="215" t="n"/>
      <c r="B7" s="215" t="n"/>
      <c r="C7" s="215" t="n"/>
    </row>
    <row r="8">
      <c r="A8" s="216" t="n"/>
      <c r="B8" s="216" t="n"/>
      <c r="C8" s="216" t="n"/>
    </row>
    <row r="9">
      <c r="A9" s="124" t="inlineStr">
        <is>
          <t>45-64</t>
        </is>
      </c>
      <c r="B9" s="126" t="inlineStr">
        <is>
          <t>Onderhoud</t>
        </is>
      </c>
      <c r="C9" s="38" t="inlineStr">
        <is>
          <t xml:space="preserve">Belangrijk is om nu de gekozen niche vast te houden.
Dit kan lastig zijn, met name in het licht van technologische
ontwikkelingen en concurrentie van jongere collega's.
</t>
        </is>
      </c>
    </row>
    <row r="10">
      <c r="A10" s="215" t="n"/>
      <c r="B10" s="215" t="n"/>
      <c r="C10" s="215" t="n"/>
    </row>
    <row r="11">
      <c r="A11" s="216" t="n"/>
      <c r="B11" s="216" t="n"/>
      <c r="C11" s="216" t="n"/>
    </row>
    <row r="12">
      <c r="A12" s="124" t="inlineStr">
        <is>
          <t>65 en ouder</t>
        </is>
      </c>
      <c r="B12" s="126" t="inlineStr">
        <is>
          <t>Terugtrekking</t>
        </is>
      </c>
      <c r="C12" s="38" t="inlineStr">
        <is>
          <t xml:space="preserve">Deze fase wordt gekenmerkt door een steeds minder
wordende betrokkenheid bij het werk en de neiging 
om een observerende positie in te nemen.
</t>
        </is>
      </c>
    </row>
    <row r="13">
      <c r="A13" s="215" t="n"/>
      <c r="B13" s="215" t="n"/>
      <c r="C13" s="215" t="n"/>
    </row>
    <row r="14">
      <c r="A14" s="216" t="n"/>
      <c r="B14" s="216" t="n"/>
      <c r="C14" s="216" t="n"/>
    </row>
    <row r="16">
      <c r="A16" s="81" t="inlineStr">
        <is>
          <t>Loopbaanfasen van Levinson en Levinson</t>
        </is>
      </c>
      <c r="B16" s="213" t="n"/>
      <c r="C16" s="214" t="n"/>
    </row>
    <row r="17">
      <c r="A17" s="81" t="inlineStr">
        <is>
          <t>Leeftijd</t>
        </is>
      </c>
      <c r="B17" s="81" t="inlineStr">
        <is>
          <t>Loopbaanfase</t>
        </is>
      </c>
      <c r="C17" s="82" t="inlineStr">
        <is>
          <t>Omschrijving</t>
        </is>
      </c>
    </row>
    <row r="18">
      <c r="A18" s="124" t="inlineStr">
        <is>
          <t>17-21</t>
        </is>
      </c>
      <c r="B18" s="126" t="inlineStr">
        <is>
          <t>Overgang naar vroege volwassenheid</t>
        </is>
      </c>
      <c r="C18" s="217" t="inlineStr">
        <is>
          <t xml:space="preserve">Een periode waarin iemand zich een plekje in de wereld
probeert te verwerven.
</t>
        </is>
      </c>
    </row>
    <row r="19">
      <c r="A19" s="216" t="n"/>
      <c r="B19" s="216" t="n"/>
      <c r="C19" s="216" t="n"/>
    </row>
    <row r="20">
      <c r="A20" s="124" t="inlineStr">
        <is>
          <t>22-28</t>
        </is>
      </c>
      <c r="B20" s="126" t="inlineStr">
        <is>
          <t>Toetreding tot volwassenheid</t>
        </is>
      </c>
      <c r="C20" s="21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215" t="n"/>
      <c r="B21" s="215" t="n"/>
      <c r="C21" s="215" t="n"/>
    </row>
    <row r="22" ht="64.5" customHeight="1">
      <c r="A22" s="216" t="n"/>
      <c r="B22" s="216" t="n"/>
      <c r="C22" s="216" t="n"/>
    </row>
    <row r="23">
      <c r="A23" s="124" t="inlineStr">
        <is>
          <t>29-33</t>
        </is>
      </c>
      <c r="B23" s="126" t="inlineStr">
        <is>
          <t>Overgang voor dertigers</t>
        </is>
      </c>
      <c r="C23" s="217" t="inlineStr">
        <is>
          <t xml:space="preserve">Ervaringen worden geëvalueerd en men gaat op zoek
naar een voldoening schenkende levensstijl.
</t>
        </is>
      </c>
    </row>
    <row r="24">
      <c r="A24" s="216" t="n"/>
      <c r="B24" s="216" t="n"/>
      <c r="C24" s="216" t="n"/>
    </row>
    <row r="25">
      <c r="A25" s="124" t="inlineStr">
        <is>
          <t>34-40</t>
        </is>
      </c>
      <c r="B25" s="126" t="inlineStr">
        <is>
          <t>Settelen</t>
        </is>
      </c>
      <c r="C25" s="51" t="inlineStr">
        <is>
          <t xml:space="preserve">De begeerde levensstijl wordt ten uitvoer gebracht. </t>
        </is>
      </c>
    </row>
    <row r="26">
      <c r="A26" s="124" t="inlineStr">
        <is>
          <t>41-45</t>
        </is>
      </c>
      <c r="B26" s="126" t="inlineStr">
        <is>
          <t>Overgang naar middelbare leeftijd</t>
        </is>
      </c>
      <c r="C26" s="21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215" t="n"/>
      <c r="B27" s="215" t="n"/>
      <c r="C27" s="215" t="n"/>
    </row>
    <row r="28">
      <c r="A28" s="215" t="n"/>
      <c r="B28" s="215" t="n"/>
      <c r="C28" s="215" t="n"/>
    </row>
    <row r="29">
      <c r="A29" s="215" t="n"/>
      <c r="B29" s="215" t="n"/>
      <c r="C29" s="215" t="n"/>
    </row>
    <row r="30">
      <c r="A30" s="215" t="n"/>
      <c r="B30" s="215" t="n"/>
      <c r="C30" s="215" t="n"/>
    </row>
    <row r="31">
      <c r="A31" s="215" t="n"/>
      <c r="B31" s="215" t="n"/>
      <c r="C31" s="215" t="n"/>
    </row>
    <row r="32">
      <c r="A32" s="215" t="n"/>
      <c r="B32" s="215" t="n"/>
      <c r="C32" s="215" t="n"/>
    </row>
    <row r="33">
      <c r="A33" s="215" t="n"/>
      <c r="B33" s="215" t="n"/>
      <c r="C33" s="215" t="n"/>
    </row>
    <row r="34">
      <c r="A34" s="215" t="n"/>
      <c r="B34" s="215" t="n"/>
      <c r="C34" s="215" t="n"/>
    </row>
    <row r="35">
      <c r="A35" s="215" t="n"/>
      <c r="B35" s="215" t="n"/>
      <c r="C35" s="215" t="n"/>
    </row>
    <row r="36">
      <c r="A36" s="215" t="n"/>
      <c r="B36" s="215" t="n"/>
      <c r="C36" s="215" t="n"/>
    </row>
    <row r="37">
      <c r="A37" s="215" t="n"/>
      <c r="B37" s="215" t="n"/>
      <c r="C37" s="215" t="n"/>
    </row>
    <row r="38">
      <c r="A38" s="215" t="n"/>
      <c r="B38" s="215" t="n"/>
      <c r="C38" s="215" t="n"/>
    </row>
    <row r="39">
      <c r="A39" s="216" t="n"/>
      <c r="B39" s="216" t="n"/>
      <c r="C39" s="216" t="n"/>
    </row>
    <row r="40">
      <c r="A40" s="124" t="inlineStr">
        <is>
          <t>46-50</t>
        </is>
      </c>
      <c r="B40" s="126" t="inlineStr">
        <is>
          <t>Toetreding tot middelbare volwassenheid</t>
        </is>
      </c>
      <c r="C40" s="218" t="inlineStr">
        <is>
          <t>Toepassen van en leren leven met gemaakte beslissingen.</t>
        </is>
      </c>
    </row>
    <row r="41">
      <c r="A41" s="124" t="inlineStr">
        <is>
          <t>51-55</t>
        </is>
      </c>
      <c r="B41" s="126" t="inlineStr">
        <is>
          <t>Overgang voor vijftigers</t>
        </is>
      </c>
      <c r="C41" s="215" t="n"/>
    </row>
    <row r="42">
      <c r="A42" s="124" t="inlineStr">
        <is>
          <t>56-60</t>
        </is>
      </c>
      <c r="B42" s="126" t="inlineStr">
        <is>
          <t>Hoogtepunt van middelbare volwassenheid</t>
        </is>
      </c>
      <c r="C42" s="215" t="n"/>
    </row>
    <row r="43">
      <c r="A43" s="124" t="inlineStr">
        <is>
          <t>61-65</t>
        </is>
      </c>
      <c r="B43" s="126" t="inlineStr">
        <is>
          <t>Overgang voor naar late volwassenheid</t>
        </is>
      </c>
      <c r="C43" s="216" t="n"/>
    </row>
    <row r="44">
      <c r="A44" s="124" t="inlineStr">
        <is>
          <t>66 en ouder</t>
        </is>
      </c>
      <c r="B44" s="126" t="inlineStr">
        <is>
          <t>Toetreding tot de late volwassenheid</t>
        </is>
      </c>
      <c r="C44" s="217" t="inlineStr">
        <is>
          <t xml:space="preserve">Deze fase wordt gekenmerkt door een steeds minder
wordende betrokkenheid bij het werk en de neiging 
om een observerende positie in te nemen.
</t>
        </is>
      </c>
    </row>
    <row r="45">
      <c r="A45" s="215" t="n"/>
      <c r="B45" s="215" t="n"/>
      <c r="C45" s="215" t="n"/>
    </row>
    <row r="46">
      <c r="A46" s="216" t="n"/>
      <c r="B46" s="216" t="n"/>
      <c r="C46" s="216" t="n"/>
    </row>
  </sheetData>
  <mergeCells count="30">
    <mergeCell ref="A12:A14"/>
    <mergeCell ref="A26:A39"/>
    <mergeCell ref="C12:C14"/>
    <mergeCell ref="B18:B19"/>
    <mergeCell ref="A20:A22"/>
    <mergeCell ref="B23:B24"/>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C44:C46"/>
    <mergeCell ref="A1:C1"/>
    <mergeCell ref="A3:A5"/>
    <mergeCell ref="B44:B46"/>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79" min="1" max="1"/>
    <col width="110.33203125" customWidth="1" style="79" min="2" max="2"/>
    <col width="20.6640625" customWidth="1" style="10" min="3" max="7"/>
    <col width="9.109375" customWidth="1" style="79" min="8" max="16384"/>
  </cols>
  <sheetData>
    <row r="1">
      <c r="A1" s="36" t="inlineStr">
        <is>
          <t>Fase 1.1 | Wie is de cliënt? | Identificatie van de Big Five Persoonlijkheidskarakteristieken</t>
        </is>
      </c>
      <c r="C1" s="191" t="inlineStr">
        <is>
          <t>Beoordeling van stelling (in zijn algemeenheid) a.h.v. onderstaande criteria:</t>
        </is>
      </c>
    </row>
    <row r="2">
      <c r="C2" s="191" t="inlineStr">
        <is>
          <t>1 = Oneens</t>
        </is>
      </c>
      <c r="D2" s="191" t="inlineStr">
        <is>
          <t>2 = Deels oneens</t>
        </is>
      </c>
      <c r="E2" s="191" t="inlineStr">
        <is>
          <t>3 = Neutraal</t>
        </is>
      </c>
      <c r="F2" s="191" t="inlineStr">
        <is>
          <t>4 = Deels eens</t>
        </is>
      </c>
      <c r="G2" s="191" t="inlineStr">
        <is>
          <t>5 = Volledig eens</t>
        </is>
      </c>
    </row>
    <row r="3">
      <c r="A3" s="81" t="inlineStr">
        <is>
          <t>Nummer</t>
        </is>
      </c>
      <c r="B3" s="83" t="inlineStr">
        <is>
          <t>Stelling</t>
        </is>
      </c>
      <c r="C3" s="81" t="inlineStr">
        <is>
          <t>Extraversie</t>
        </is>
      </c>
      <c r="D3" s="81" t="inlineStr">
        <is>
          <t>Altruïsme</t>
        </is>
      </c>
      <c r="E3" s="81" t="inlineStr">
        <is>
          <t>Conciëntieusheid</t>
        </is>
      </c>
      <c r="F3" s="81" t="inlineStr">
        <is>
          <t>Neuroticisme</t>
        </is>
      </c>
      <c r="G3" s="81" t="inlineStr">
        <is>
          <t>Openheid</t>
        </is>
      </c>
    </row>
    <row r="4">
      <c r="A4" s="12" t="n">
        <v>1</v>
      </c>
      <c r="B4" s="8" t="inlineStr">
        <is>
          <t xml:space="preserve">Ik ben het middelpunt van het feest. </t>
        </is>
      </c>
      <c r="C4" s="27" t="n">
        <v>1</v>
      </c>
      <c r="D4" s="28" t="n"/>
      <c r="E4" s="28" t="n"/>
      <c r="F4" s="28" t="n"/>
      <c r="G4" s="32" t="n"/>
    </row>
    <row r="5">
      <c r="A5" s="12" t="n">
        <v>2</v>
      </c>
      <c r="B5" s="8" t="inlineStr">
        <is>
          <t xml:space="preserve">Ik voel me weinig bezorgd om anderen. </t>
        </is>
      </c>
      <c r="C5" s="28" t="n"/>
      <c r="D5" s="29" t="n">
        <v>2</v>
      </c>
      <c r="E5" s="28" t="n"/>
      <c r="F5" s="28" t="n"/>
      <c r="G5" s="32" t="n"/>
    </row>
    <row r="6">
      <c r="A6" s="12" t="n">
        <v>3</v>
      </c>
      <c r="B6" s="8" t="inlineStr">
        <is>
          <t xml:space="preserve">Ik ben altijd voorbereid. </t>
        </is>
      </c>
      <c r="C6" s="28" t="n"/>
      <c r="D6" s="28" t="n"/>
      <c r="E6" s="30" t="n">
        <v>2</v>
      </c>
      <c r="F6" s="28" t="n"/>
      <c r="G6" s="32" t="n"/>
    </row>
    <row r="7">
      <c r="A7" s="12" t="n">
        <v>4</v>
      </c>
      <c r="B7" s="8" t="inlineStr">
        <is>
          <t xml:space="preserve">Ik raak niet snel gestrest. </t>
        </is>
      </c>
      <c r="C7" s="28" t="n"/>
      <c r="D7" s="28" t="n"/>
      <c r="E7" s="28" t="n"/>
      <c r="F7" s="31" t="n">
        <v>4</v>
      </c>
      <c r="G7" s="32" t="n"/>
    </row>
    <row r="8">
      <c r="A8" s="12" t="n">
        <v>5</v>
      </c>
      <c r="B8" s="8" t="inlineStr">
        <is>
          <t xml:space="preserve">Ik heb een rijk vocabulaire. </t>
        </is>
      </c>
      <c r="C8" s="28" t="n"/>
      <c r="D8" s="28" t="n"/>
      <c r="E8" s="28" t="n"/>
      <c r="F8" s="28" t="n"/>
      <c r="G8" s="33" t="n">
        <v>3</v>
      </c>
    </row>
    <row r="9">
      <c r="A9" s="12" t="n">
        <v>6</v>
      </c>
      <c r="B9" s="8" t="inlineStr">
        <is>
          <t xml:space="preserve">Ik praat niet veel. </t>
        </is>
      </c>
      <c r="C9" s="27" t="n">
        <v>3</v>
      </c>
      <c r="D9" s="28" t="n"/>
      <c r="E9" s="28" t="n"/>
      <c r="F9" s="28" t="n"/>
      <c r="G9" s="32" t="n"/>
    </row>
    <row r="10">
      <c r="A10" s="12" t="n">
        <v>7</v>
      </c>
      <c r="B10" s="8" t="inlineStr">
        <is>
          <t xml:space="preserve">Ik ben oprecht geïnteresseerd in anderen. </t>
        </is>
      </c>
      <c r="C10" s="28" t="n"/>
      <c r="D10" s="29" t="n">
        <v>2</v>
      </c>
      <c r="E10" s="28" t="n"/>
      <c r="F10" s="28" t="n"/>
      <c r="G10" s="32" t="n"/>
    </row>
    <row r="11">
      <c r="A11" s="12" t="n">
        <v>8</v>
      </c>
      <c r="B11" s="8" t="inlineStr">
        <is>
          <t xml:space="preserve">Ik vergeet met regelmaat mijn spullen. </t>
        </is>
      </c>
      <c r="C11" s="28" t="n"/>
      <c r="D11" s="28" t="n"/>
      <c r="E11" s="30" t="n">
        <v>2</v>
      </c>
      <c r="F11" s="28" t="n"/>
      <c r="G11" s="32" t="n"/>
    </row>
    <row r="12">
      <c r="A12" s="12" t="n">
        <v>9</v>
      </c>
      <c r="B12" s="8" t="inlineStr">
        <is>
          <t xml:space="preserve">Ik ben meestal ontspannen. </t>
        </is>
      </c>
      <c r="C12" s="28" t="n"/>
      <c r="D12" s="28" t="n"/>
      <c r="E12" s="28" t="n"/>
      <c r="F12" s="31" t="n">
        <v>3</v>
      </c>
      <c r="G12" s="32" t="n"/>
    </row>
    <row r="13">
      <c r="A13" s="12" t="n">
        <v>10</v>
      </c>
      <c r="B13" s="8" t="inlineStr">
        <is>
          <t xml:space="preserve">Ik heb moeite om abstracte ideeën te begrijpen. </t>
        </is>
      </c>
      <c r="C13" s="28" t="n"/>
      <c r="D13" s="28" t="n"/>
      <c r="E13" s="28" t="n"/>
      <c r="F13" s="28" t="n"/>
      <c r="G13" s="33" t="n">
        <v>3</v>
      </c>
    </row>
    <row r="14">
      <c r="A14" s="12" t="n">
        <v>11</v>
      </c>
      <c r="B14" s="8" t="inlineStr">
        <is>
          <t xml:space="preserve">Ik voel me comfortabel bij mensen. </t>
        </is>
      </c>
      <c r="C14" s="27" t="n">
        <v>3</v>
      </c>
      <c r="D14" s="28" t="n"/>
      <c r="E14" s="28" t="n"/>
      <c r="F14" s="28" t="n"/>
      <c r="G14" s="32" t="n"/>
    </row>
    <row r="15">
      <c r="A15" s="12" t="n">
        <v>12</v>
      </c>
      <c r="B15" s="8" t="inlineStr">
        <is>
          <t>Ik beledig mensen.</t>
        </is>
      </c>
      <c r="C15" s="28" t="n"/>
      <c r="D15" s="29" t="n">
        <v>3</v>
      </c>
      <c r="E15" s="28" t="n"/>
      <c r="F15" s="28" t="n"/>
      <c r="G15" s="32" t="n"/>
    </row>
    <row r="16">
      <c r="A16" s="12" t="n">
        <v>13</v>
      </c>
      <c r="B16" s="8" t="inlineStr">
        <is>
          <t xml:space="preserve">Ik besteed aandacht aan details. </t>
        </is>
      </c>
      <c r="C16" s="28" t="n"/>
      <c r="D16" s="28" t="n"/>
      <c r="E16" s="30" t="n">
        <v>3</v>
      </c>
      <c r="F16" s="28" t="n"/>
      <c r="G16" s="32" t="n"/>
    </row>
    <row r="17">
      <c r="A17" s="12" t="n">
        <v>14</v>
      </c>
      <c r="B17" s="8" t="inlineStr">
        <is>
          <t xml:space="preserve">Ik maak me niet vaak zorgen. </t>
        </is>
      </c>
      <c r="C17" s="28" t="n"/>
      <c r="D17" s="28" t="n"/>
      <c r="E17" s="28" t="n"/>
      <c r="F17" s="31" t="n">
        <v>3</v>
      </c>
      <c r="G17" s="32" t="n"/>
    </row>
    <row r="18">
      <c r="A18" s="12" t="n">
        <v>15</v>
      </c>
      <c r="B18" s="8" t="inlineStr">
        <is>
          <t xml:space="preserve">Ik heb een levendige verbeelding. </t>
        </is>
      </c>
      <c r="C18" s="28" t="n"/>
      <c r="D18" s="28" t="n"/>
      <c r="E18" s="28" t="n"/>
      <c r="F18" s="28" t="n"/>
      <c r="G18" s="33" t="n">
        <v>3</v>
      </c>
    </row>
    <row r="19">
      <c r="A19" s="12" t="n">
        <v>16</v>
      </c>
      <c r="B19" s="8" t="inlineStr">
        <is>
          <t xml:space="preserve">Ik blijf liever op de achtergrond. </t>
        </is>
      </c>
      <c r="C19" s="27" t="n">
        <v>3</v>
      </c>
      <c r="D19" s="28" t="n"/>
      <c r="E19" s="28" t="n"/>
      <c r="F19" s="28" t="n"/>
      <c r="G19" s="32" t="n"/>
    </row>
    <row r="20">
      <c r="A20" s="12" t="n">
        <v>17</v>
      </c>
      <c r="B20" s="8" t="inlineStr">
        <is>
          <t xml:space="preserve">Ik sympathiseer met de gevoelens van anderen. </t>
        </is>
      </c>
      <c r="C20" s="28" t="n"/>
      <c r="D20" s="29" t="n">
        <v>3</v>
      </c>
      <c r="E20" s="28" t="n"/>
      <c r="F20" s="28" t="n"/>
      <c r="G20" s="32" t="n"/>
    </row>
    <row r="21">
      <c r="A21" s="12" t="n">
        <v>18</v>
      </c>
      <c r="B21" s="8" t="inlineStr">
        <is>
          <t xml:space="preserve">Ik maak al snel een chaos van een situatie. </t>
        </is>
      </c>
      <c r="C21" s="28" t="n"/>
      <c r="D21" s="28" t="n"/>
      <c r="E21" s="30" t="n">
        <v>3</v>
      </c>
      <c r="F21" s="28" t="n"/>
      <c r="G21" s="32" t="n"/>
    </row>
    <row r="22">
      <c r="A22" s="12" t="n">
        <v>19</v>
      </c>
      <c r="B22" s="8" t="inlineStr">
        <is>
          <t xml:space="preserve">Ik voel me vaak droevig. </t>
        </is>
      </c>
      <c r="C22" s="28" t="n"/>
      <c r="D22" s="28" t="n"/>
      <c r="E22" s="28" t="n"/>
      <c r="F22" s="31" t="n">
        <v>3</v>
      </c>
      <c r="G22" s="32" t="n"/>
    </row>
    <row r="23">
      <c r="A23" s="12" t="n">
        <v>20</v>
      </c>
      <c r="B23" s="8" t="inlineStr">
        <is>
          <t xml:space="preserve">Ik ben niet geïnteresseerd in abstracte ideeën. </t>
        </is>
      </c>
      <c r="C23" s="28" t="n"/>
      <c r="D23" s="28" t="n"/>
      <c r="E23" s="28" t="n"/>
      <c r="F23" s="28" t="n"/>
      <c r="G23" s="33" t="n">
        <v>3</v>
      </c>
    </row>
    <row r="24">
      <c r="A24" s="12" t="n">
        <v>21</v>
      </c>
      <c r="B24" s="8" t="inlineStr">
        <is>
          <t xml:space="preserve">Ik begin gesprekken. </t>
        </is>
      </c>
      <c r="C24" s="27" t="n">
        <v>3</v>
      </c>
      <c r="D24" s="28" t="n"/>
      <c r="E24" s="28" t="n"/>
      <c r="F24" s="28" t="n"/>
      <c r="G24" s="32" t="n"/>
    </row>
    <row r="25">
      <c r="A25" s="12" t="n">
        <v>22</v>
      </c>
      <c r="B25" s="8" t="inlineStr">
        <is>
          <t xml:space="preserve">Ik ben niet geïnteresseerd in de problemen van anderen. </t>
        </is>
      </c>
      <c r="C25" s="28" t="n"/>
      <c r="D25" s="29" t="n">
        <v>3</v>
      </c>
      <c r="E25" s="28" t="n"/>
      <c r="F25" s="28" t="n"/>
      <c r="G25" s="32" t="n"/>
    </row>
    <row r="26">
      <c r="A26" s="12" t="n">
        <v>23</v>
      </c>
      <c r="B26" s="8" t="inlineStr">
        <is>
          <t xml:space="preserve">Ik krijg een klus meteen gedaan. </t>
        </is>
      </c>
      <c r="C26" s="28" t="n"/>
      <c r="D26" s="28" t="n"/>
      <c r="E26" s="30" t="n">
        <v>3</v>
      </c>
      <c r="F26" s="28" t="n"/>
      <c r="G26" s="32" t="n"/>
    </row>
    <row r="27">
      <c r="A27" s="12" t="n">
        <v>24</v>
      </c>
      <c r="B27" s="8" t="inlineStr">
        <is>
          <t xml:space="preserve">Ik raak niet snel afgeleid. </t>
        </is>
      </c>
      <c r="C27" s="28" t="n"/>
      <c r="D27" s="28" t="n"/>
      <c r="E27" s="28" t="n"/>
      <c r="F27" s="31" t="n">
        <v>3</v>
      </c>
      <c r="G27" s="32" t="n"/>
    </row>
    <row r="28">
      <c r="A28" s="12" t="n">
        <v>25</v>
      </c>
      <c r="B28" s="9" t="inlineStr">
        <is>
          <t xml:space="preserve">Ik heb uitstekende ideeën. </t>
        </is>
      </c>
      <c r="C28" s="28" t="n"/>
      <c r="D28" s="28" t="n"/>
      <c r="E28" s="28" t="n"/>
      <c r="F28" s="28" t="n"/>
      <c r="G28" s="33" t="n">
        <v>3</v>
      </c>
    </row>
    <row r="29">
      <c r="A29" s="12" t="n">
        <v>26</v>
      </c>
      <c r="B29" s="2" t="inlineStr">
        <is>
          <t>Ik heb over het algemeen weinig te zeggen.</t>
        </is>
      </c>
      <c r="C29" s="27" t="n">
        <v>3</v>
      </c>
      <c r="D29" s="28" t="n"/>
      <c r="E29" s="28" t="n"/>
      <c r="F29" s="28" t="n"/>
      <c r="G29" s="32" t="n"/>
    </row>
    <row r="30">
      <c r="A30" s="12" t="n">
        <v>27</v>
      </c>
      <c r="B30" s="2" t="inlineStr">
        <is>
          <t>Ik heb een zacht hart.</t>
        </is>
      </c>
      <c r="C30" s="28" t="n"/>
      <c r="D30" s="29" t="n">
        <v>3</v>
      </c>
      <c r="E30" s="28" t="n"/>
      <c r="F30" s="28" t="n"/>
      <c r="G30" s="32" t="n"/>
    </row>
    <row r="31">
      <c r="A31" s="12" t="n">
        <v>28</v>
      </c>
      <c r="B31" s="2" t="inlineStr">
        <is>
          <t>Ik vergeet vaak om objecten op de juiste plaats terug te zetten.</t>
        </is>
      </c>
      <c r="C31" s="28" t="n"/>
      <c r="D31" s="28" t="n"/>
      <c r="E31" s="30" t="n">
        <v>3</v>
      </c>
      <c r="F31" s="28" t="n"/>
      <c r="G31" s="32" t="n"/>
    </row>
    <row r="32">
      <c r="A32" s="12" t="n">
        <v>29</v>
      </c>
      <c r="B32" s="2" t="inlineStr">
        <is>
          <t>Ik raak niet gemakkelijk overstuur.</t>
        </is>
      </c>
      <c r="C32" s="28" t="n"/>
      <c r="D32" s="28" t="n"/>
      <c r="E32" s="28" t="n"/>
      <c r="F32" s="31" t="n">
        <v>3</v>
      </c>
      <c r="G32" s="32" t="n"/>
    </row>
    <row r="33">
      <c r="A33" s="12" t="n">
        <v>30</v>
      </c>
      <c r="B33" s="2" t="inlineStr">
        <is>
          <t>Ik heb geen goede verbeelding.</t>
        </is>
      </c>
      <c r="C33" s="28" t="n"/>
      <c r="D33" s="28" t="n"/>
      <c r="E33" s="28" t="n"/>
      <c r="F33" s="28" t="n"/>
      <c r="G33" s="33" t="n">
        <v>3</v>
      </c>
    </row>
    <row r="34">
      <c r="A34" s="12" t="n">
        <v>31</v>
      </c>
      <c r="B34" s="2" t="inlineStr">
        <is>
          <t>Ik praat met veel verschillende mensen op een feest.</t>
        </is>
      </c>
      <c r="C34" s="27" t="n">
        <v>3</v>
      </c>
      <c r="D34" s="28" t="n"/>
      <c r="E34" s="28" t="n"/>
      <c r="F34" s="28" t="n"/>
      <c r="G34" s="32" t="n"/>
    </row>
    <row r="35">
      <c r="A35" s="12" t="n">
        <v>32</v>
      </c>
      <c r="B35" s="2" t="inlineStr">
        <is>
          <t>Ik ben niet echt geïnteresseerd in anderen.</t>
        </is>
      </c>
      <c r="C35" s="28" t="n"/>
      <c r="D35" s="29" t="n">
        <v>3</v>
      </c>
      <c r="E35" s="28" t="n"/>
      <c r="F35" s="28" t="n"/>
      <c r="G35" s="32" t="n"/>
    </row>
    <row r="36">
      <c r="A36" s="12" t="n">
        <v>33</v>
      </c>
      <c r="B36" s="2" t="inlineStr">
        <is>
          <t>Ik ben gesteld op orde.</t>
        </is>
      </c>
      <c r="C36" s="28" t="n"/>
      <c r="D36" s="28" t="n"/>
      <c r="E36" s="30" t="n">
        <v>3</v>
      </c>
      <c r="F36" s="28" t="n"/>
      <c r="G36" s="32" t="n"/>
    </row>
    <row r="37">
      <c r="A37" s="12" t="n">
        <v>34</v>
      </c>
      <c r="B37" s="2" t="inlineStr">
        <is>
          <t>Mijn humeur veranderd niet vaak.</t>
        </is>
      </c>
      <c r="C37" s="28" t="n"/>
      <c r="D37" s="28" t="n"/>
      <c r="E37" s="28" t="n"/>
      <c r="F37" s="31" t="n">
        <v>3</v>
      </c>
      <c r="G37" s="32" t="n"/>
    </row>
    <row r="38">
      <c r="A38" s="12" t="n">
        <v>35</v>
      </c>
      <c r="B38" s="2" t="inlineStr">
        <is>
          <t xml:space="preserve">Ik begrijp zaken snel. </t>
        </is>
      </c>
      <c r="C38" s="28" t="n"/>
      <c r="D38" s="28" t="n"/>
      <c r="E38" s="28" t="n"/>
      <c r="F38" s="28" t="n"/>
      <c r="G38" s="33" t="n">
        <v>3</v>
      </c>
    </row>
    <row r="39">
      <c r="A39" s="12" t="n">
        <v>36</v>
      </c>
      <c r="B39" s="2" t="inlineStr">
        <is>
          <t>Ik houd er niet van de aandacht op mezelf te vestigen.</t>
        </is>
      </c>
      <c r="C39" s="27" t="n">
        <v>3</v>
      </c>
      <c r="D39" s="28" t="n"/>
      <c r="E39" s="28" t="n"/>
      <c r="F39" s="28" t="n"/>
      <c r="G39" s="32" t="n"/>
    </row>
    <row r="40">
      <c r="A40" s="12" t="n">
        <v>37</v>
      </c>
      <c r="B40" s="2" t="inlineStr">
        <is>
          <t>Ik neem de tijd voor anderen.</t>
        </is>
      </c>
      <c r="C40" s="28" t="n"/>
      <c r="D40" s="29" t="n">
        <v>3</v>
      </c>
      <c r="E40" s="28" t="n"/>
      <c r="F40" s="28" t="n"/>
      <c r="G40" s="32" t="n"/>
    </row>
    <row r="41">
      <c r="A41" s="12" t="n">
        <v>38</v>
      </c>
      <c r="B41" s="2" t="inlineStr">
        <is>
          <t>Ik onttrek me van mijn plichten.</t>
        </is>
      </c>
      <c r="C41" s="28" t="n"/>
      <c r="D41" s="28" t="n"/>
      <c r="E41" s="30" t="n">
        <v>3</v>
      </c>
      <c r="F41" s="28" t="n"/>
      <c r="G41" s="32" t="n"/>
    </row>
    <row r="42">
      <c r="A42" s="12" t="n">
        <v>39</v>
      </c>
      <c r="B42" s="2" t="inlineStr">
        <is>
          <t>Ik ervaar vrijwel geen stemmingswisselingen.</t>
        </is>
      </c>
      <c r="C42" s="28" t="n"/>
      <c r="D42" s="28" t="n"/>
      <c r="E42" s="28" t="n"/>
      <c r="F42" s="31" t="n">
        <v>3</v>
      </c>
      <c r="G42" s="32" t="n"/>
    </row>
    <row r="43">
      <c r="A43" s="12" t="n">
        <v>40</v>
      </c>
      <c r="B43" s="2" t="inlineStr">
        <is>
          <t>Ik gebruik moeilijke woorden.</t>
        </is>
      </c>
      <c r="C43" s="28" t="n"/>
      <c r="D43" s="28" t="n"/>
      <c r="E43" s="28" t="n"/>
      <c r="F43" s="28" t="n"/>
      <c r="G43" s="33" t="n">
        <v>3</v>
      </c>
    </row>
    <row r="44">
      <c r="A44" s="12" t="n">
        <v>41</v>
      </c>
      <c r="B44" s="2" t="inlineStr">
        <is>
          <t>Ik heb er geen probleem mee om het centrum van aandacht te zijn.</t>
        </is>
      </c>
      <c r="C44" s="27" t="n">
        <v>3</v>
      </c>
      <c r="D44" s="28" t="n"/>
      <c r="E44" s="28" t="n"/>
      <c r="F44" s="28" t="n"/>
      <c r="G44" s="32" t="n"/>
    </row>
    <row r="45">
      <c r="A45" s="12" t="n">
        <v>42</v>
      </c>
      <c r="B45" s="2" t="inlineStr">
        <is>
          <t>Ik voel de emoties van anderen.</t>
        </is>
      </c>
      <c r="C45" s="28" t="n"/>
      <c r="D45" s="29" t="n">
        <v>3</v>
      </c>
      <c r="E45" s="28" t="n"/>
      <c r="F45" s="28" t="n"/>
      <c r="G45" s="32" t="n"/>
    </row>
    <row r="46">
      <c r="A46" s="12" t="n">
        <v>43</v>
      </c>
      <c r="B46" s="2" t="inlineStr">
        <is>
          <t>Ik volg graag schema's.</t>
        </is>
      </c>
      <c r="C46" s="28" t="n"/>
      <c r="D46" s="28" t="n"/>
      <c r="E46" s="30" t="n">
        <v>3</v>
      </c>
      <c r="F46" s="28" t="n"/>
      <c r="G46" s="32" t="n"/>
    </row>
    <row r="47">
      <c r="A47" s="12" t="n">
        <v>44</v>
      </c>
      <c r="B47" s="2" t="inlineStr">
        <is>
          <t>Ik raak niet snel geïrriteerd.</t>
        </is>
      </c>
      <c r="C47" s="28" t="n"/>
      <c r="D47" s="28" t="n"/>
      <c r="E47" s="28" t="n"/>
      <c r="F47" s="31" t="n">
        <v>3</v>
      </c>
      <c r="G47" s="32" t="n"/>
    </row>
    <row r="48">
      <c r="A48" s="12" t="n">
        <v>45</v>
      </c>
      <c r="B48" s="2" t="inlineStr">
        <is>
          <t>Ik besteed tijd aan het reflecteren op zaken.</t>
        </is>
      </c>
      <c r="C48" s="28" t="n"/>
      <c r="D48" s="28" t="n"/>
      <c r="E48" s="28" t="n"/>
      <c r="F48" s="28" t="n"/>
      <c r="G48" s="33" t="n">
        <v>3</v>
      </c>
    </row>
    <row r="49">
      <c r="A49" s="12" t="n">
        <v>46</v>
      </c>
      <c r="B49" s="2" t="inlineStr">
        <is>
          <t>Ik ben stil rondom vreemden.</t>
        </is>
      </c>
      <c r="C49" s="27" t="n">
        <v>3</v>
      </c>
      <c r="D49" s="28" t="n"/>
      <c r="E49" s="28" t="n"/>
      <c r="F49" s="28" t="n"/>
      <c r="G49" s="32" t="n"/>
    </row>
    <row r="50">
      <c r="A50" s="12" t="n">
        <v>47</v>
      </c>
      <c r="B50" s="2" t="inlineStr">
        <is>
          <t>Ik laat mensen zich op hun gemak voelen.</t>
        </is>
      </c>
      <c r="C50" s="28" t="n"/>
      <c r="D50" s="29" t="n">
        <v>3</v>
      </c>
      <c r="E50" s="28" t="n"/>
      <c r="F50" s="28" t="n"/>
      <c r="G50" s="32" t="n"/>
    </row>
    <row r="51">
      <c r="A51" s="12" t="n">
        <v>48</v>
      </c>
      <c r="B51" s="2" t="inlineStr">
        <is>
          <t>Ik stel hoge eisen aan de kwaliteit van mijn werk.</t>
        </is>
      </c>
      <c r="C51" s="28" t="n"/>
      <c r="D51" s="28" t="n"/>
      <c r="E51" s="30" t="n">
        <v>3</v>
      </c>
      <c r="F51" s="28" t="n"/>
      <c r="G51" s="32" t="n"/>
    </row>
    <row r="52">
      <c r="A52" s="12" t="n">
        <v>49</v>
      </c>
      <c r="B52" s="2" t="inlineStr">
        <is>
          <t>Ik voel me zelden droevig.</t>
        </is>
      </c>
      <c r="C52" s="28" t="n"/>
      <c r="D52" s="28" t="n"/>
      <c r="E52" s="28" t="n"/>
      <c r="F52" s="31" t="n">
        <v>3</v>
      </c>
      <c r="G52" s="32" t="n"/>
    </row>
    <row r="53">
      <c r="A53" s="73" t="n">
        <v>50</v>
      </c>
      <c r="B53" s="3" t="inlineStr">
        <is>
          <t>Ik zit vol met ideeën.</t>
        </is>
      </c>
      <c r="C53" s="28" t="n"/>
      <c r="D53" s="28" t="n"/>
      <c r="E53" s="28" t="n"/>
      <c r="F53" s="28" t="n"/>
      <c r="G53" s="33" t="n">
        <v>3</v>
      </c>
    </row>
    <row r="54">
      <c r="A54" s="81" t="inlineStr">
        <is>
          <t>Score</t>
        </is>
      </c>
      <c r="B54" s="214" t="n"/>
      <c r="C54" s="167">
        <f>(20+C4-C9+C14-C19+C24-C29+C34-C39+C44-C49)</f>
        <v/>
      </c>
      <c r="D54" s="12">
        <f>(14-D5+D10-D15+D20-D25+D30-D35+D40+D45+D50)</f>
        <v/>
      </c>
      <c r="E54" s="12">
        <f>(14+E6-E11+E16-E21+E26-E31+E36-E41+E46+E51)</f>
        <v/>
      </c>
      <c r="F54" s="12">
        <f>(38-F7+F12-F17+F22-F27-F32-F37-F42-F47-F52)</f>
        <v/>
      </c>
      <c r="G54" s="12">
        <f>(8+G8-G13+G18-G23+G28-G33+G38+G43+G48+G53)</f>
        <v/>
      </c>
    </row>
    <row r="56">
      <c r="A56" s="81" t="inlineStr">
        <is>
          <t>Score</t>
        </is>
      </c>
      <c r="B56" s="81" t="inlineStr">
        <is>
          <t>Omschrijving</t>
        </is>
      </c>
      <c r="C56" s="82" t="inlineStr">
        <is>
          <t>Formule</t>
        </is>
      </c>
      <c r="D56" s="219" t="n"/>
      <c r="E56" s="219" t="n"/>
      <c r="F56" s="219" t="n"/>
      <c r="G56" s="220" t="n"/>
    </row>
    <row r="57">
      <c r="A57" s="74" t="inlineStr">
        <is>
          <t>1-8</t>
        </is>
      </c>
      <c r="B57" s="6" t="inlineStr">
        <is>
          <t>Zwak</t>
        </is>
      </c>
      <c r="C57" s="221" t="inlineStr">
        <is>
          <t>E = 20 + (1) ___ - (6) ___ + (11) ___ - (16) ___ + (21) ___ - (26) ___ + (31) ___ - (36) ___ + (41) ___ - (46) ___ = _____</t>
        </is>
      </c>
      <c r="D57" s="213" t="n"/>
      <c r="E57" s="213" t="n"/>
      <c r="F57" s="213" t="n"/>
      <c r="G57" s="214" t="n"/>
    </row>
    <row r="58">
      <c r="A58" s="74" t="inlineStr">
        <is>
          <t>9-17</t>
        </is>
      </c>
      <c r="B58" s="6" t="inlineStr">
        <is>
          <t>Matig</t>
        </is>
      </c>
      <c r="C58" s="221" t="inlineStr">
        <is>
          <t>A = 14 - (2) ___ + (7) ___ - (12) ___ + (17) ___ - (22) ___ + (27) ___ - (32) ___ + (37) ___ + (42) ___ + (47) ___ = _____</t>
        </is>
      </c>
      <c r="D58" s="213" t="n"/>
      <c r="E58" s="213" t="n"/>
      <c r="F58" s="213" t="n"/>
      <c r="G58" s="214" t="n"/>
    </row>
    <row r="59">
      <c r="A59" s="74" t="inlineStr">
        <is>
          <t>18-26</t>
        </is>
      </c>
      <c r="B59" s="6" t="inlineStr">
        <is>
          <t>Neutraal</t>
        </is>
      </c>
      <c r="C59" s="221" t="inlineStr">
        <is>
          <t>C = 14 + (3) ___ - (8) ___ + (13) ___ - (18) ___ + (23) ___ - (28) ___ + (33) ___ - (38) ___ + (43) ___ + (48) ___ = _____</t>
        </is>
      </c>
      <c r="D59" s="213" t="n"/>
      <c r="E59" s="213" t="n"/>
      <c r="F59" s="213" t="n"/>
      <c r="G59" s="214" t="n"/>
    </row>
    <row r="60">
      <c r="A60" s="74" t="inlineStr">
        <is>
          <t>27-35</t>
        </is>
      </c>
      <c r="B60" s="6" t="inlineStr">
        <is>
          <t>Sterk</t>
        </is>
      </c>
      <c r="C60" s="221" t="inlineStr">
        <is>
          <t>N = 38 - (4) ___ + (9) ___ - (14) ___ + (19) ___ - (24) ___ - (29) ___ - (34) ___ - (39) ___ - (44) ___ - (49) ___ = _____</t>
        </is>
      </c>
      <c r="D60" s="213" t="n"/>
      <c r="E60" s="213" t="n"/>
      <c r="F60" s="213" t="n"/>
      <c r="G60" s="214" t="n"/>
    </row>
    <row r="61">
      <c r="A61" s="74" t="inlineStr">
        <is>
          <t>35-40</t>
        </is>
      </c>
      <c r="B61" s="6" t="inlineStr">
        <is>
          <t>Zeer sterk</t>
        </is>
      </c>
      <c r="C61" s="221" t="inlineStr">
        <is>
          <t>O = 8 + (5) ___ - (10) ___ + (15) ___ - (20) ___ + (25) ___ - (30) ___ + (35) ___ + (40) ___ + (45) ___ + (50) ___ = _____</t>
        </is>
      </c>
      <c r="D61" s="213" t="n"/>
      <c r="E61" s="213" t="n"/>
      <c r="F61" s="213" t="n"/>
      <c r="G61" s="214" t="n"/>
    </row>
    <row r="63" customFormat="1" s="17">
      <c r="A63" s="84" t="inlineStr">
        <is>
          <t>Typering</t>
        </is>
      </c>
      <c r="B63" s="142" t="inlineStr">
        <is>
          <t>Omschrijving</t>
        </is>
      </c>
      <c r="C63" s="81" t="inlineStr">
        <is>
          <t>Big Five Model</t>
        </is>
      </c>
      <c r="D63" s="213" t="n"/>
      <c r="E63" s="213" t="n"/>
      <c r="F63" s="213" t="n"/>
      <c r="G63" s="214" t="n"/>
    </row>
    <row r="64" ht="294" customFormat="1" customHeight="1" s="17">
      <c r="A64" s="75" t="inlineStr">
        <is>
          <t>Extraversie</t>
        </is>
      </c>
      <c r="B64" s="21"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222" t="n"/>
      <c r="D64" s="219" t="n"/>
      <c r="E64" s="219" t="n"/>
      <c r="F64" s="219" t="n"/>
      <c r="G64" s="220" t="n"/>
    </row>
    <row r="65" ht="279.75" customFormat="1" customHeight="1" s="17">
      <c r="A65" s="76" t="inlineStr">
        <is>
          <t>Altruisme</t>
        </is>
      </c>
      <c r="B65" s="3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223" t="n"/>
      <c r="G65" s="224" t="n"/>
    </row>
    <row r="66" ht="317.4" customFormat="1" customHeight="1" s="17">
      <c r="A66" s="77" t="inlineStr">
        <is>
          <t>Conciëntieusheid</t>
        </is>
      </c>
      <c r="B66" s="3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223" t="n"/>
      <c r="G66" s="224" t="n"/>
    </row>
    <row r="67" ht="291.75" customFormat="1" customHeight="1" s="17">
      <c r="A67" s="76" t="inlineStr">
        <is>
          <t>Neuroticisme</t>
        </is>
      </c>
      <c r="B67" s="21"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223" t="n"/>
      <c r="G67" s="224" t="n"/>
    </row>
    <row r="68" ht="372.6" customFormat="1" customHeight="1" s="17">
      <c r="A68" s="76" t="inlineStr">
        <is>
          <t>Openheid</t>
        </is>
      </c>
      <c r="B68" s="20"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225" t="n"/>
      <c r="D68" s="226" t="n"/>
      <c r="E68" s="226" t="n"/>
      <c r="F68" s="226" t="n"/>
      <c r="G68" s="227" t="n"/>
    </row>
    <row r="69" ht="14.4" customHeight="1">
      <c r="C69" s="16" t="n"/>
    </row>
    <row r="70" ht="14.4" customHeight="1">
      <c r="C70" s="15" t="n"/>
    </row>
    <row r="71" ht="14.4" customHeight="1">
      <c r="C71" s="15" t="n"/>
    </row>
    <row r="72" ht="14.4" customHeight="1">
      <c r="C72" s="16" t="n"/>
    </row>
    <row r="73" ht="14.4" customHeight="1">
      <c r="C73" s="15" t="n"/>
    </row>
    <row r="74" ht="14.4" customHeight="1">
      <c r="C74" s="15" t="n"/>
    </row>
  </sheetData>
  <mergeCells count="10">
    <mergeCell ref="C59:G59"/>
    <mergeCell ref="A54:B54"/>
    <mergeCell ref="C58:G58"/>
    <mergeCell ref="C1:G1"/>
    <mergeCell ref="C60:G60"/>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8" customFormat="1" customHeight="1" s="79">
      <c r="A1" s="36" t="inlineStr">
        <is>
          <t>Fase 2.0 | Wat wil de cliënt? | Identificatie van de loopbaanwaarden</t>
        </is>
      </c>
      <c r="B1" s="36" t="n"/>
      <c r="C1" s="191" t="inlineStr">
        <is>
          <t>Beoordeling van stelling a.h.v. onderstaande criteria:</t>
        </is>
      </c>
    </row>
    <row r="2" ht="13.8" customFormat="1" customHeight="1" s="79">
      <c r="A2" s="36" t="n"/>
      <c r="C2" s="177" t="inlineStr">
        <is>
          <t xml:space="preserve">Met welke stelling kan cliënt zich het sterkst identificeren? </t>
        </is>
      </c>
      <c r="D2" s="226" t="n"/>
      <c r="E2" s="226" t="n"/>
      <c r="F2" s="226" t="n"/>
      <c r="G2" s="226" t="n"/>
    </row>
    <row r="3" ht="13.8" customFormat="1" customHeight="1" s="79">
      <c r="A3" s="81" t="inlineStr">
        <is>
          <t>Nummer</t>
        </is>
      </c>
      <c r="B3" s="82" t="inlineStr">
        <is>
          <t>Stelling</t>
        </is>
      </c>
      <c r="C3" s="81" t="inlineStr">
        <is>
          <t>Omhoog | V</t>
        </is>
      </c>
      <c r="D3" s="81" t="inlineStr">
        <is>
          <t>Veilig | W</t>
        </is>
      </c>
      <c r="E3" s="81" t="inlineStr">
        <is>
          <t>Vrij | X</t>
        </is>
      </c>
      <c r="F3" s="81" t="inlineStr">
        <is>
          <t>Balans | Y</t>
        </is>
      </c>
      <c r="G3" s="81" t="inlineStr">
        <is>
          <t>Uitdaging | Z</t>
        </is>
      </c>
    </row>
    <row r="4" ht="13.8" customFormat="1" customHeight="1" s="79">
      <c r="A4" s="124" t="n">
        <v>1</v>
      </c>
      <c r="B4" s="38" t="inlineStr">
        <is>
          <t xml:space="preserve">V: Graag wil ik het voor mezelf en voor anderen dusdanig regelen dat 
succes verzekerd is.
</t>
        </is>
      </c>
      <c r="C4" s="228" t="n"/>
      <c r="D4" s="228" t="n"/>
      <c r="E4" s="228" t="n"/>
      <c r="F4" s="228" t="n"/>
      <c r="G4" s="228" t="n"/>
    </row>
    <row r="5" ht="13.8" customFormat="1" customHeight="1" s="79">
      <c r="A5" s="215" t="n"/>
      <c r="B5" s="216" t="n"/>
      <c r="C5" s="215" t="n"/>
      <c r="D5" s="215" t="n"/>
      <c r="E5" s="215" t="n"/>
      <c r="F5" s="215" t="n"/>
      <c r="G5" s="215" t="n"/>
    </row>
    <row r="6" ht="13.8" customFormat="1" customHeight="1" s="79">
      <c r="A6" s="216" t="n"/>
      <c r="B6" s="53" t="inlineStr">
        <is>
          <t>X: Ik houd me binnen een werksituatie het liefst bezig met mijn eigen zaken.</t>
        </is>
      </c>
      <c r="C6" s="216" t="n"/>
      <c r="D6" s="216" t="n"/>
      <c r="E6" s="216" t="n"/>
      <c r="F6" s="216" t="n"/>
      <c r="G6" s="216" t="n"/>
    </row>
    <row r="7" ht="13.8" customFormat="1" customHeight="1" s="79">
      <c r="A7" s="124" t="n">
        <v>2</v>
      </c>
      <c r="B7" s="38" t="inlineStr">
        <is>
          <t xml:space="preserve">Y: Binnen het werk moet er tijd zijn voor zaken die jezelf belangrijk
vindt en moet er gelegenheid zijn om zinvolle relaties te cultiveren.
</t>
        </is>
      </c>
      <c r="C7" s="228" t="n"/>
      <c r="D7" s="228" t="n"/>
      <c r="E7" s="228" t="n"/>
      <c r="F7" s="228" t="n"/>
      <c r="G7" s="228" t="n"/>
    </row>
    <row r="8" ht="13.8" customFormat="1" customHeight="1" s="79">
      <c r="A8" s="215" t="n"/>
      <c r="B8" s="216" t="n"/>
      <c r="C8" s="215" t="n"/>
      <c r="D8" s="215" t="n"/>
      <c r="E8" s="215" t="n"/>
      <c r="F8" s="215" t="n"/>
      <c r="G8" s="215" t="n"/>
    </row>
    <row r="9" ht="13.8" customFormat="1" customHeight="1" s="79">
      <c r="A9" s="216" t="n"/>
      <c r="B9" s="53" t="inlineStr">
        <is>
          <t>V: Vooruitkomen is voor mij belangrijker dan persoonlijke behoeften.</t>
        </is>
      </c>
      <c r="C9" s="216" t="n"/>
      <c r="D9" s="216" t="n"/>
      <c r="E9" s="216" t="n"/>
      <c r="F9" s="216" t="n"/>
      <c r="G9" s="216" t="n"/>
    </row>
    <row r="10" ht="13.8" customFormat="1" customHeight="1" s="79">
      <c r="A10" s="124" t="n">
        <v>3</v>
      </c>
      <c r="B10" s="38" t="inlineStr">
        <is>
          <t xml:space="preserve">W: Ik werk graag in een omgeving waar hard werken, loyaliteit en
toewijding gewaardeerd wordt.
</t>
        </is>
      </c>
      <c r="C10" s="228" t="n"/>
      <c r="D10" s="228" t="n"/>
      <c r="E10" s="228" t="n"/>
      <c r="F10" s="228" t="n"/>
      <c r="G10" s="228" t="n"/>
    </row>
    <row r="11" ht="13.8" customFormat="1" customHeight="1" s="79">
      <c r="A11" s="215" t="n"/>
      <c r="B11" s="216" t="n"/>
      <c r="C11" s="215" t="n"/>
      <c r="D11" s="215" t="n"/>
      <c r="E11" s="215" t="n"/>
      <c r="F11" s="215" t="n"/>
      <c r="G11" s="215" t="n"/>
    </row>
    <row r="12" ht="13.8" customFormat="1" customHeight="1" s="79">
      <c r="A12" s="215" t="n"/>
      <c r="B12" s="38" t="inlineStr">
        <is>
          <t xml:space="preserve">X: Ik houd van een werksituatie waar ik mijn eigen doelen kan
bepalen, ze kan bereiken op mijn eigen manier en op mijn
eigen tempo.
</t>
        </is>
      </c>
      <c r="C12" s="215" t="n"/>
      <c r="D12" s="215" t="n"/>
      <c r="E12" s="215" t="n"/>
      <c r="F12" s="215" t="n"/>
      <c r="G12" s="215" t="n"/>
    </row>
    <row r="13" ht="13.8" customFormat="1" customHeight="1" s="79">
      <c r="A13" s="215" t="n"/>
      <c r="B13" s="215" t="n"/>
      <c r="C13" s="215" t="n"/>
      <c r="D13" s="215" t="n"/>
      <c r="E13" s="215" t="n"/>
      <c r="F13" s="215" t="n"/>
      <c r="G13" s="215" t="n"/>
    </row>
    <row r="14" ht="13.8" customFormat="1" customHeight="1" s="79">
      <c r="A14" s="216" t="n"/>
      <c r="B14" s="216" t="n"/>
      <c r="C14" s="216" t="n"/>
      <c r="D14" s="216" t="n"/>
      <c r="E14" s="216" t="n"/>
      <c r="F14" s="216" t="n"/>
      <c r="G14" s="216" t="n"/>
    </row>
    <row r="15" ht="13.8" customFormat="1" customHeight="1" s="79">
      <c r="A15" s="124" t="n">
        <v>4</v>
      </c>
      <c r="B15" s="53" t="inlineStr">
        <is>
          <t>V: Ik ben strijdlustig, kan goed analyseren en met mensen omgaan.</t>
        </is>
      </c>
      <c r="C15" s="228" t="n"/>
      <c r="D15" s="228" t="n"/>
      <c r="E15" s="228" t="n"/>
      <c r="F15" s="228" t="n"/>
      <c r="G15" s="228" t="n"/>
    </row>
    <row r="16" ht="13.8" customFormat="1" customHeight="1" s="79">
      <c r="A16" s="215" t="n"/>
      <c r="B16" s="38" t="inlineStr">
        <is>
          <t xml:space="preserve">Y: Ik kan goed mijn evenwicht bewaren tussen de eisen van mijn werk
en die van mijn privé-leven.
</t>
        </is>
      </c>
      <c r="C16" s="215" t="n"/>
      <c r="D16" s="215" t="n"/>
      <c r="E16" s="215" t="n"/>
      <c r="F16" s="215" t="n"/>
      <c r="G16" s="215" t="n"/>
    </row>
    <row r="17" ht="13.8" customFormat="1" customHeight="1" s="79">
      <c r="A17" s="216" t="n"/>
      <c r="B17" s="216" t="n"/>
      <c r="C17" s="216" t="n"/>
      <c r="D17" s="216" t="n"/>
      <c r="E17" s="216" t="n"/>
      <c r="F17" s="216" t="n"/>
      <c r="G17" s="216" t="n"/>
    </row>
    <row r="18" ht="13.8" customFormat="1" customHeight="1" s="79">
      <c r="A18" s="124" t="n">
        <v>5</v>
      </c>
      <c r="B18" s="53" t="inlineStr">
        <is>
          <t>X: Ik wil onafhankelijk werken.</t>
        </is>
      </c>
      <c r="C18" s="228" t="n"/>
      <c r="D18" s="228" t="n"/>
      <c r="E18" s="228" t="n"/>
      <c r="F18" s="228" t="n"/>
      <c r="G18" s="228" t="n"/>
    </row>
    <row r="19" ht="13.8" customFormat="1" customHeight="1" s="79">
      <c r="A19" s="215" t="n"/>
      <c r="B19" s="38" t="inlineStr">
        <is>
          <t xml:space="preserve">W: Ik houd ervan me een vertegenwoordiger te voelen van een
groter geheel.
</t>
        </is>
      </c>
      <c r="C19" s="215" t="n"/>
      <c r="D19" s="215" t="n"/>
      <c r="E19" s="215" t="n"/>
      <c r="F19" s="215" t="n"/>
      <c r="G19" s="215" t="n"/>
    </row>
    <row r="20" ht="13.8" customFormat="1" customHeight="1" s="79">
      <c r="A20" s="216" t="n"/>
      <c r="B20" s="216" t="n"/>
      <c r="C20" s="216" t="n"/>
      <c r="D20" s="216" t="n"/>
      <c r="E20" s="216" t="n"/>
      <c r="F20" s="216" t="n"/>
      <c r="G20" s="216" t="n"/>
    </row>
    <row r="21" ht="13.8" customFormat="1" customHeight="1" s="79">
      <c r="A21" s="124" t="n">
        <v>6</v>
      </c>
      <c r="B21" s="38" t="inlineStr">
        <is>
          <t xml:space="preserve">Z: Ik houd ervan als consultant of probleemoplosser te werken en
me dusdanig te profileren door middel van een opwindend project.
</t>
        </is>
      </c>
      <c r="C21" s="228" t="n"/>
      <c r="D21" s="228" t="n"/>
      <c r="E21" s="228" t="n"/>
      <c r="F21" s="228" t="n"/>
      <c r="G21" s="228" t="n"/>
    </row>
    <row r="22" ht="13.8" customFormat="1" customHeight="1" s="79">
      <c r="A22" s="215" t="n"/>
      <c r="B22" s="216" t="n"/>
      <c r="C22" s="215" t="n"/>
      <c r="D22" s="215" t="n"/>
      <c r="E22" s="215" t="n"/>
      <c r="F22" s="215" t="n"/>
      <c r="G22" s="215" t="n"/>
    </row>
    <row r="23" ht="13.8" customFormat="1" customHeight="1" s="79">
      <c r="A23" s="215" t="n"/>
      <c r="B23" s="38" t="inlineStr">
        <is>
          <t xml:space="preserve">V: Ik houd ervan in een situatie te werken waarin ik de leiding
heb en verantwoordelijk ben voor het bereiken van bepaalde
doelen.
</t>
        </is>
      </c>
      <c r="C23" s="215" t="n"/>
      <c r="D23" s="215" t="n"/>
      <c r="E23" s="215" t="n"/>
      <c r="F23" s="215" t="n"/>
      <c r="G23" s="215" t="n"/>
    </row>
    <row r="24" ht="13.8" customFormat="1" customHeight="1" s="79">
      <c r="A24" s="215" t="n"/>
      <c r="B24" s="215" t="n"/>
      <c r="C24" s="215" t="n"/>
      <c r="D24" s="215" t="n"/>
      <c r="E24" s="215" t="n"/>
      <c r="F24" s="215" t="n"/>
      <c r="G24" s="215" t="n"/>
    </row>
    <row r="25" ht="13.8" customFormat="1" customHeight="1" s="79">
      <c r="A25" s="216" t="n"/>
      <c r="B25" s="216" t="n"/>
      <c r="C25" s="216" t="n"/>
      <c r="D25" s="216" t="n"/>
      <c r="E25" s="216" t="n"/>
      <c r="F25" s="216" t="n"/>
      <c r="G25" s="216" t="n"/>
    </row>
    <row r="26" ht="13.8" customFormat="1" customHeight="1" s="79">
      <c r="A26" s="124" t="n">
        <v>7</v>
      </c>
      <c r="B26" s="38" t="inlineStr">
        <is>
          <t xml:space="preserve">Y: Mijn echtgenoot/partner is net zo belangrijk voor mij als mijn
loopbaan.
</t>
        </is>
      </c>
      <c r="C26" s="228" t="n"/>
      <c r="D26" s="228" t="n"/>
      <c r="E26" s="228" t="n"/>
      <c r="F26" s="228" t="n"/>
      <c r="G26" s="228" t="n"/>
    </row>
    <row r="27" ht="13.8" customFormat="1" customHeight="1" s="79">
      <c r="A27" s="215" t="n"/>
      <c r="B27" s="216" t="n"/>
      <c r="C27" s="215" t="n"/>
      <c r="D27" s="215" t="n"/>
      <c r="E27" s="215" t="n"/>
      <c r="F27" s="215" t="n"/>
      <c r="G27" s="215" t="n"/>
    </row>
    <row r="28" ht="13.8" customFormat="1" customHeight="1" s="79">
      <c r="A28" s="215" t="n"/>
      <c r="B28" s="38" t="inlineStr">
        <is>
          <t xml:space="preserve">Z: Mijn echtgenoot/partner verdwijnt naar de achtergrond als ik
midden in een zeer opwindend project zit.
</t>
        </is>
      </c>
      <c r="C28" s="215" t="n"/>
      <c r="D28" s="215" t="n"/>
      <c r="E28" s="215" t="n"/>
      <c r="F28" s="215" t="n"/>
      <c r="G28" s="215" t="n"/>
    </row>
    <row r="29" ht="13.8" customFormat="1" customHeight="1" s="79">
      <c r="A29" s="216" t="n"/>
      <c r="B29" s="216" t="n"/>
      <c r="C29" s="216" t="n"/>
      <c r="D29" s="216" t="n"/>
      <c r="E29" s="216" t="n"/>
      <c r="F29" s="216" t="n"/>
      <c r="G29" s="216" t="n"/>
    </row>
    <row r="30" ht="13.8" customFormat="1" customHeight="1" s="79">
      <c r="A30" s="124" t="n">
        <v>8</v>
      </c>
      <c r="B30" s="53" t="inlineStr">
        <is>
          <t>X: Het allerbelangrijkst voor mij is vrijheid.</t>
        </is>
      </c>
      <c r="C30" s="228" t="n"/>
      <c r="D30" s="228" t="n"/>
      <c r="E30" s="228" t="n"/>
      <c r="F30" s="228" t="n"/>
      <c r="G30" s="228" t="n"/>
    </row>
    <row r="31" ht="13.8" customFormat="1" customHeight="1" s="79">
      <c r="A31" s="216" t="n"/>
      <c r="B31" s="54" t="inlineStr">
        <is>
          <t>Y: Het allerbelangrijkst voor mij is een doel in mijn leven.</t>
        </is>
      </c>
      <c r="C31" s="216" t="n"/>
      <c r="D31" s="216" t="n"/>
      <c r="E31" s="216" t="n"/>
      <c r="F31" s="216" t="n"/>
      <c r="G31" s="216" t="n"/>
    </row>
    <row r="32" ht="13.8" customFormat="1" customHeight="1" s="79">
      <c r="A32" s="124" t="n">
        <v>9</v>
      </c>
      <c r="B32" s="53" t="inlineStr">
        <is>
          <t>W: Ik ben bekwaam, loyaal, betrouwbaar en ik werk hard.</t>
        </is>
      </c>
      <c r="C32" s="228" t="n"/>
      <c r="D32" s="228" t="n"/>
      <c r="E32" s="228" t="n"/>
      <c r="F32" s="228" t="n"/>
      <c r="G32" s="228" t="n"/>
    </row>
    <row r="33" ht="13.8" customFormat="1" customHeight="1" s="79">
      <c r="A33" s="215" t="n"/>
      <c r="B33" s="38" t="inlineStr">
        <is>
          <t xml:space="preserve">V: Ik ben sociaal in de omgang, een goede leider en een goede
organisator.
</t>
        </is>
      </c>
      <c r="C33" s="215" t="n"/>
      <c r="D33" s="215" t="n"/>
      <c r="E33" s="215" t="n"/>
      <c r="F33" s="215" t="n"/>
      <c r="G33" s="215" t="n"/>
    </row>
    <row r="34" ht="13.8" customFormat="1" customHeight="1" s="79">
      <c r="A34" s="216" t="n"/>
      <c r="B34" s="216" t="n"/>
      <c r="C34" s="216" t="n"/>
      <c r="D34" s="216" t="n"/>
      <c r="E34" s="216" t="n"/>
      <c r="F34" s="216" t="n"/>
      <c r="G34" s="216" t="n"/>
    </row>
    <row r="35" ht="13.8" customFormat="1" customHeight="1" s="79">
      <c r="A35" s="124" t="n">
        <v>10</v>
      </c>
      <c r="B35" s="53" t="inlineStr">
        <is>
          <t>X: Ik ben onafhankelijk.</t>
        </is>
      </c>
      <c r="C35" s="228" t="n"/>
      <c r="D35" s="228" t="n"/>
      <c r="E35" s="228" t="n"/>
      <c r="F35" s="228" t="n"/>
      <c r="G35" s="228" t="n"/>
    </row>
    <row r="36" ht="13.8" customFormat="1" customHeight="1" s="79">
      <c r="A36" s="216" t="n"/>
      <c r="B36" s="54" t="inlineStr">
        <is>
          <t>Y: Ik ben evenwichtig.</t>
        </is>
      </c>
      <c r="C36" s="216" t="n"/>
      <c r="D36" s="216" t="n"/>
      <c r="E36" s="216" t="n"/>
      <c r="F36" s="216" t="n"/>
      <c r="G36" s="216" t="n"/>
    </row>
    <row r="37" ht="13.8" customFormat="1" customHeight="1" s="79">
      <c r="A37" s="124" t="n">
        <v>11</v>
      </c>
      <c r="B37" s="53" t="inlineStr">
        <is>
          <t>Z: Ik ben iemand die in actie komt door opwindende projecten.</t>
        </is>
      </c>
      <c r="C37" s="228" t="n"/>
      <c r="D37" s="228" t="n"/>
      <c r="E37" s="228" t="n"/>
      <c r="F37" s="228" t="n"/>
      <c r="G37" s="228" t="n"/>
    </row>
    <row r="38" ht="13.8" customFormat="1" customHeight="1" s="79">
      <c r="A38" s="216" t="n"/>
      <c r="B38" s="54" t="inlineStr">
        <is>
          <t>V: Ik ben iemand die graag met anderen wedijvert.</t>
        </is>
      </c>
      <c r="C38" s="216" t="n"/>
      <c r="D38" s="216" t="n"/>
      <c r="E38" s="216" t="n"/>
      <c r="F38" s="216" t="n"/>
      <c r="G38" s="216" t="n"/>
    </row>
    <row r="39" ht="13.8" customFormat="1" customHeight="1" s="79">
      <c r="A39" s="124" t="n">
        <v>12</v>
      </c>
      <c r="B39" s="53" t="inlineStr">
        <is>
          <t>Y: Ik ben iemand die genuanceerd over zaken nadenkt.</t>
        </is>
      </c>
      <c r="C39" s="228" t="n"/>
      <c r="D39" s="228" t="n"/>
      <c r="E39" s="228" t="n"/>
      <c r="F39" s="228" t="n"/>
      <c r="G39" s="228" t="n"/>
    </row>
    <row r="40" ht="13.8" customFormat="1" customHeight="1" s="79">
      <c r="A40" s="216" t="n"/>
      <c r="B40" s="54" t="inlineStr">
        <is>
          <t>V: Ik ben ambitieus en iemand die graag met anderen wedijvert.</t>
        </is>
      </c>
      <c r="C40" s="216" t="n"/>
      <c r="D40" s="216" t="n"/>
      <c r="E40" s="216" t="n"/>
      <c r="F40" s="216" t="n"/>
      <c r="G40" s="216" t="n"/>
    </row>
    <row r="41" ht="13.8" customFormat="1" customHeight="1" s="79">
      <c r="A41" s="124" t="n">
        <v>13</v>
      </c>
      <c r="B41" s="53" t="inlineStr">
        <is>
          <t>X: Ik heb veel zelfvertrouwen en ben in staat mezelf te redden.</t>
        </is>
      </c>
      <c r="C41" s="228" t="n"/>
      <c r="D41" s="228" t="n"/>
      <c r="E41" s="228" t="n"/>
      <c r="F41" s="228" t="n"/>
      <c r="G41" s="228" t="n"/>
    </row>
    <row r="42" ht="13.8" customFormat="1" customHeight="1" s="79">
      <c r="A42" s="216" t="n"/>
      <c r="B42" s="54" t="inlineStr">
        <is>
          <t>Z: Ik heb veel fantasie en enthousiasme.</t>
        </is>
      </c>
      <c r="C42" s="216" t="n"/>
      <c r="D42" s="216" t="n"/>
      <c r="E42" s="216" t="n"/>
      <c r="F42" s="216" t="n"/>
      <c r="G42" s="216" t="n"/>
    </row>
    <row r="43" ht="13.8" customFormat="1" customHeight="1" s="79">
      <c r="A43" s="124" t="n">
        <v>14</v>
      </c>
      <c r="B43" s="53" t="inlineStr">
        <is>
          <t>W: Ik ben stabiel en vasthoudend.</t>
        </is>
      </c>
      <c r="C43" s="228" t="n"/>
      <c r="D43" s="228" t="n"/>
      <c r="E43" s="228" t="n"/>
      <c r="F43" s="228" t="n"/>
      <c r="G43" s="228" t="n"/>
    </row>
    <row r="44" ht="13.8" customFormat="1" customHeight="1" s="79">
      <c r="A44" s="216" t="n"/>
      <c r="B44" s="55" t="inlineStr">
        <is>
          <t>X: Ik ben onafhankelijk en in staat een eigen koers te bepalen.</t>
        </is>
      </c>
      <c r="C44" s="216" t="n"/>
      <c r="D44" s="216" t="n"/>
      <c r="E44" s="216" t="n"/>
      <c r="F44" s="216" t="n"/>
      <c r="G44" s="216" t="n"/>
    </row>
    <row r="45" ht="13.8" customFormat="1" customHeight="1" s="79">
      <c r="A45" s="124" t="n">
        <v>15</v>
      </c>
      <c r="B45" s="53" t="inlineStr">
        <is>
          <t>V: Ik ben iemand die goed kan plannen en organiseren.</t>
        </is>
      </c>
      <c r="C45" s="228" t="n"/>
      <c r="D45" s="228" t="n"/>
      <c r="E45" s="228" t="n"/>
      <c r="F45" s="228" t="n"/>
      <c r="G45" s="228" t="n"/>
    </row>
    <row r="46" ht="13.8" customFormat="1" customHeight="1" s="79">
      <c r="A46" s="215" t="n"/>
      <c r="B46" s="38" t="inlineStr">
        <is>
          <t xml:space="preserve">Z: Ik ben iemand die situaties analyseert en creatieve, nieuwe
oplossingen ontwikkelt.
</t>
        </is>
      </c>
      <c r="C46" s="215" t="n"/>
      <c r="D46" s="215" t="n"/>
      <c r="E46" s="215" t="n"/>
      <c r="F46" s="215" t="n"/>
      <c r="G46" s="215" t="n"/>
    </row>
    <row r="47" ht="13.8" customFormat="1" customHeight="1" s="79">
      <c r="A47" s="216" t="n"/>
      <c r="B47" s="216" t="n"/>
      <c r="C47" s="216" t="n"/>
      <c r="D47" s="216" t="n"/>
      <c r="E47" s="216" t="n"/>
      <c r="F47" s="216" t="n"/>
      <c r="G47" s="216" t="n"/>
    </row>
    <row r="48" ht="13.8" customFormat="1" customHeight="1" s="79">
      <c r="A48" s="124" t="n">
        <v>16</v>
      </c>
      <c r="B48" s="53" t="inlineStr">
        <is>
          <t>Z: Ik ben een expert op mijn terrein.</t>
        </is>
      </c>
      <c r="C48" s="228" t="n"/>
      <c r="D48" s="228" t="n"/>
      <c r="E48" s="228" t="n"/>
      <c r="F48" s="228" t="n"/>
      <c r="G48" s="228" t="n"/>
    </row>
    <row r="49" ht="13.8" customFormat="1" customHeight="1" s="79">
      <c r="A49" s="216" t="n"/>
      <c r="B49" s="55" t="inlineStr">
        <is>
          <t>W: Ik ben een betrouwbaar en degelijk persoon.</t>
        </is>
      </c>
      <c r="C49" s="216" t="n"/>
      <c r="D49" s="216" t="n"/>
      <c r="E49" s="216" t="n"/>
      <c r="F49" s="216" t="n"/>
      <c r="G49" s="216" t="n"/>
    </row>
    <row r="50" ht="12.75" customFormat="1" customHeight="1" s="79">
      <c r="A50" s="124" t="n">
        <v>17</v>
      </c>
      <c r="B50" s="157" t="inlineStr">
        <is>
          <t xml:space="preserve">W: Ik ben iemand die wil werken volgens vaststaande procedures.
</t>
        </is>
      </c>
      <c r="C50" s="228" t="n"/>
      <c r="D50" s="228" t="n"/>
      <c r="E50" s="228" t="n"/>
      <c r="F50" s="228" t="n"/>
      <c r="G50" s="228" t="n"/>
    </row>
    <row r="51" ht="13.8" customFormat="1" customHeight="1" s="79">
      <c r="A51" s="215" t="n"/>
      <c r="B51" s="229" t="inlineStr">
        <is>
          <t xml:space="preserve">Y: Ik ben iemand die probeert de doelen in het werk in overeenstemming
te brengen met wat ik persoonlijk nastreef.
</t>
        </is>
      </c>
      <c r="C51" s="215" t="n"/>
      <c r="D51" s="215" t="n"/>
      <c r="E51" s="215" t="n"/>
      <c r="F51" s="215" t="n"/>
      <c r="G51" s="215" t="n"/>
    </row>
    <row r="52" ht="15" customFormat="1" customHeight="1" s="79">
      <c r="A52" s="216" t="n"/>
      <c r="B52" s="216" t="n"/>
      <c r="C52" s="216" t="n"/>
      <c r="D52" s="216" t="n"/>
      <c r="E52" s="216" t="n"/>
      <c r="F52" s="216" t="n"/>
      <c r="G52" s="216" t="n"/>
    </row>
    <row r="53" ht="13.8" customFormat="1" customHeight="1" s="79">
      <c r="A53" s="124" t="n">
        <v>18</v>
      </c>
      <c r="B53" s="158" t="inlineStr">
        <is>
          <t>X: Een persoonlijk doel is om mijn eigen lot te bepalen.</t>
        </is>
      </c>
      <c r="C53" s="228" t="n"/>
      <c r="D53" s="228" t="n"/>
      <c r="E53" s="228" t="n"/>
      <c r="F53" s="228" t="n"/>
      <c r="G53" s="228" t="n"/>
    </row>
    <row r="54" ht="13.8" customFormat="1" customHeight="1" s="79">
      <c r="A54" s="215" t="n"/>
      <c r="B54" s="38" t="inlineStr">
        <is>
          <t xml:space="preserve">Y: Een persoonlijk doel is om mijn werk niet te verweven met mijn
privé-leven.
</t>
        </is>
      </c>
      <c r="C54" s="215" t="n"/>
      <c r="D54" s="215" t="n"/>
      <c r="E54" s="215" t="n"/>
      <c r="F54" s="215" t="n"/>
      <c r="G54" s="215" t="n"/>
    </row>
    <row r="55" ht="13.8" customFormat="1" customHeight="1" s="79">
      <c r="A55" s="216" t="n"/>
      <c r="B55" s="216" t="n"/>
      <c r="C55" s="216" t="n"/>
      <c r="D55" s="216" t="n"/>
      <c r="E55" s="216" t="n"/>
      <c r="F55" s="216" t="n"/>
      <c r="G55" s="216" t="n"/>
    </row>
    <row r="56" ht="13.8" customFormat="1" customHeight="1" s="79">
      <c r="A56" s="124" t="n">
        <v>19</v>
      </c>
      <c r="B56" s="38" t="inlineStr">
        <is>
          <t xml:space="preserve">W: Ik vind het belangrijk een veilige baan te hebben en het gevoel
te hebben erbij te horen.
</t>
        </is>
      </c>
      <c r="C56" s="228" t="n"/>
      <c r="D56" s="228" t="n"/>
      <c r="E56" s="228" t="n"/>
      <c r="F56" s="228" t="n"/>
      <c r="G56" s="228" t="n"/>
    </row>
    <row r="57" ht="13.8" customFormat="1" customHeight="1" s="79">
      <c r="A57" s="215" t="n"/>
      <c r="B57" s="216" t="n"/>
      <c r="C57" s="215" t="n"/>
      <c r="D57" s="215" t="n"/>
      <c r="E57" s="215" t="n"/>
      <c r="F57" s="215" t="n"/>
      <c r="G57" s="215" t="n"/>
    </row>
    <row r="58" ht="13.8" customFormat="1" customHeight="1" s="79">
      <c r="A58" s="215" t="n"/>
      <c r="B58" s="38" t="inlineStr">
        <is>
          <t xml:space="preserve">Y: Ik vind het belangrijk om tijd te kunnen besteden aan mijn
privé-leven en hobby’s.
</t>
        </is>
      </c>
      <c r="C58" s="215" t="n"/>
      <c r="D58" s="215" t="n"/>
      <c r="E58" s="215" t="n"/>
      <c r="F58" s="215" t="n"/>
      <c r="G58" s="215" t="n"/>
    </row>
    <row r="59" ht="13.8" customFormat="1" customHeight="1" s="79">
      <c r="A59" s="216" t="n"/>
      <c r="B59" s="216" t="n"/>
      <c r="C59" s="216" t="n"/>
      <c r="D59" s="216" t="n"/>
      <c r="E59" s="216" t="n"/>
      <c r="F59" s="216" t="n"/>
      <c r="G59" s="216" t="n"/>
    </row>
    <row r="60" ht="13.8" customFormat="1" customHeight="1" s="79">
      <c r="A60" s="124" t="n">
        <v>20</v>
      </c>
      <c r="B60" s="38" t="inlineStr">
        <is>
          <t xml:space="preserve">V: Ik geef de voorkeur aan een carrière waarin veel promotiekansen
voorhanden zijn.
</t>
        </is>
      </c>
      <c r="C60" s="228" t="n"/>
      <c r="D60" s="228" t="n"/>
      <c r="E60" s="228" t="n"/>
      <c r="F60" s="228" t="n"/>
      <c r="G60" s="228" t="n"/>
    </row>
    <row r="61" ht="13.8" customFormat="1" customHeight="1" s="79">
      <c r="A61" s="215" t="n"/>
      <c r="B61" s="216" t="n"/>
      <c r="C61" s="215" t="n"/>
      <c r="D61" s="215" t="n"/>
      <c r="E61" s="215" t="n"/>
      <c r="F61" s="215" t="n"/>
      <c r="G61" s="215" t="n"/>
    </row>
    <row r="62" ht="13.8" customFormat="1" customHeight="1" s="79">
      <c r="A62" s="215" t="n"/>
      <c r="B62" s="38" t="inlineStr">
        <is>
          <t xml:space="preserve">Z: Ik geef er de voorkeur aan om in staat gesteld te worden uitdagende
problemen en taken aan te pakken.
</t>
        </is>
      </c>
      <c r="C62" s="215" t="n"/>
      <c r="D62" s="215" t="n"/>
      <c r="E62" s="215" t="n"/>
      <c r="F62" s="215" t="n"/>
      <c r="G62" s="215" t="n"/>
    </row>
    <row r="63" ht="13.8" customFormat="1" customHeight="1" s="79">
      <c r="A63" s="216" t="n"/>
      <c r="B63" s="216" t="n"/>
      <c r="C63" s="216" t="n"/>
      <c r="D63" s="216" t="n"/>
      <c r="E63" s="216" t="n"/>
      <c r="F63" s="216" t="n"/>
      <c r="G63" s="216" t="n"/>
    </row>
    <row r="64" ht="13.8" customFormat="1" customHeight="1" s="79">
      <c r="A64" s="124" t="n">
        <v>21</v>
      </c>
      <c r="B64" s="38" t="inlineStr">
        <is>
          <t xml:space="preserve">V: Ik ben graag in een werksituatie waar invloed uitgeoefend kan
worden.
</t>
        </is>
      </c>
      <c r="C64" s="228" t="n"/>
      <c r="D64" s="228" t="n"/>
      <c r="E64" s="228" t="n"/>
      <c r="F64" s="228" t="n"/>
      <c r="G64" s="228" t="n"/>
    </row>
    <row r="65" ht="13.8" customFormat="1" customHeight="1" s="79">
      <c r="A65" s="215" t="n"/>
      <c r="B65" s="216" t="n"/>
      <c r="C65" s="215" t="n"/>
      <c r="D65" s="215" t="n"/>
      <c r="E65" s="215" t="n"/>
      <c r="F65" s="215" t="n"/>
      <c r="G65" s="215" t="n"/>
    </row>
    <row r="66" ht="13.8" customFormat="1" customHeight="1" s="79">
      <c r="A66" s="215" t="n"/>
      <c r="B66" s="38" t="inlineStr">
        <is>
          <t xml:space="preserve">W: Ik waardeer een baan waar je langere tijd kunt blijven werken
en waar ik gewaardeerd en geaccepteerd wordt.
</t>
        </is>
      </c>
      <c r="C66" s="215" t="n"/>
      <c r="D66" s="215" t="n"/>
      <c r="E66" s="215" t="n"/>
      <c r="F66" s="215" t="n"/>
      <c r="G66" s="215" t="n"/>
    </row>
    <row r="67" ht="13.8" customFormat="1" customHeight="1" s="79">
      <c r="A67" s="216" t="n"/>
      <c r="B67" s="216" t="n"/>
      <c r="C67" s="216" t="n"/>
      <c r="D67" s="216" t="n"/>
      <c r="E67" s="216" t="n"/>
      <c r="F67" s="216" t="n"/>
      <c r="G67" s="216" t="n"/>
    </row>
    <row r="68" ht="13.8" customFormat="1" customHeight="1" s="79">
      <c r="A68" s="124" t="n">
        <v>22</v>
      </c>
      <c r="B68" s="38" t="inlineStr">
        <is>
          <t xml:space="preserve">V: Ik denk dat de juiste mensen kennen en goede vrienden maken
belangrijk is om vooruit te komen.
</t>
        </is>
      </c>
      <c r="C68" s="228" t="n"/>
      <c r="D68" s="228" t="n"/>
      <c r="E68" s="228" t="n"/>
      <c r="F68" s="228" t="n"/>
      <c r="G68" s="228" t="n"/>
    </row>
    <row r="69" ht="13.8" customFormat="1" customHeight="1" s="79">
      <c r="A69" s="215" t="n"/>
      <c r="B69" s="216" t="n"/>
      <c r="C69" s="215" t="n"/>
      <c r="D69" s="215" t="n"/>
      <c r="E69" s="215" t="n"/>
      <c r="F69" s="215" t="n"/>
      <c r="G69" s="215" t="n"/>
    </row>
    <row r="70" ht="13.8" customFormat="1" customHeight="1" s="79">
      <c r="A70" s="216" t="n"/>
      <c r="B70" s="55" t="inlineStr">
        <is>
          <t>Y: Ik denk dat het essentieel is om interessegebieden te ontwikkelen.</t>
        </is>
      </c>
      <c r="C70" s="216" t="n"/>
      <c r="D70" s="216" t="n"/>
      <c r="E70" s="216" t="n"/>
      <c r="F70" s="216" t="n"/>
      <c r="G70" s="216" t="n"/>
    </row>
    <row r="71" ht="13.8" customFormat="1" customHeight="1" s="79">
      <c r="A71" s="124" t="n">
        <v>23</v>
      </c>
      <c r="B71" s="38" t="inlineStr">
        <is>
          <t xml:space="preserve">Y: Voor mij geldt als basis het scheppen van een evenwicht tussen
mijn privé-leven en mijn werk.
</t>
        </is>
      </c>
      <c r="C71" s="228" t="n"/>
      <c r="D71" s="228" t="n"/>
      <c r="E71" s="228" t="n"/>
      <c r="F71" s="228" t="n"/>
      <c r="G71" s="228" t="n"/>
    </row>
    <row r="72" ht="13.8" customFormat="1" customHeight="1" s="79">
      <c r="A72" s="215" t="n"/>
      <c r="B72" s="216" t="n"/>
      <c r="C72" s="215" t="n"/>
      <c r="D72" s="215" t="n"/>
      <c r="E72" s="215" t="n"/>
      <c r="F72" s="215" t="n"/>
      <c r="G72" s="215" t="n"/>
    </row>
    <row r="73" ht="13.8" customFormat="1" customHeight="1" s="79">
      <c r="A73" s="215" t="n"/>
      <c r="B73" s="38" t="inlineStr">
        <is>
          <t xml:space="preserve">W: Voor mij geldt als basis stabiliteit, waardering en een veilige
plaats binnen mijn werksituatie.
</t>
        </is>
      </c>
      <c r="C73" s="215" t="n"/>
      <c r="D73" s="215" t="n"/>
      <c r="E73" s="215" t="n"/>
      <c r="F73" s="215" t="n"/>
      <c r="G73" s="215" t="n"/>
    </row>
    <row r="74" ht="13.8" customFormat="1" customHeight="1" s="79">
      <c r="A74" s="216" t="n"/>
      <c r="B74" s="216" t="n"/>
      <c r="C74" s="216" t="n"/>
      <c r="D74" s="216" t="n"/>
      <c r="E74" s="216" t="n"/>
      <c r="F74" s="216" t="n"/>
      <c r="G74" s="216" t="n"/>
    </row>
    <row r="75" ht="13.8" customFormat="1" customHeight="1" s="79">
      <c r="A75" s="124" t="n">
        <v>24</v>
      </c>
      <c r="B75" s="38" t="inlineStr">
        <is>
          <t xml:space="preserve">X: Ik denk dat ik graag een positie zou willen hebben met een
maximum aan zelfstandigheid.
</t>
        </is>
      </c>
      <c r="C75" s="228" t="n"/>
      <c r="D75" s="228" t="n"/>
      <c r="E75" s="228" t="n"/>
      <c r="F75" s="228" t="n"/>
      <c r="G75" s="228" t="n"/>
    </row>
    <row r="76" ht="13.8" customFormat="1" customHeight="1" s="79">
      <c r="A76" s="215" t="n"/>
      <c r="B76" s="216" t="n"/>
      <c r="C76" s="215" t="n"/>
      <c r="D76" s="215" t="n"/>
      <c r="E76" s="215" t="n"/>
      <c r="F76" s="215" t="n"/>
      <c r="G76" s="215" t="n"/>
    </row>
    <row r="77" ht="13.8" customFormat="1" customHeight="1" s="79">
      <c r="A77" s="215" t="n"/>
      <c r="B77" s="38" t="inlineStr">
        <is>
          <t xml:space="preserve">V: Ik denk dat ik graag tot "de kring van ingewijden" zou willen
behoren.
</t>
        </is>
      </c>
      <c r="C77" s="215" t="n"/>
      <c r="D77" s="215" t="n"/>
      <c r="E77" s="215" t="n"/>
      <c r="F77" s="215" t="n"/>
      <c r="G77" s="215" t="n"/>
    </row>
    <row r="78" ht="13.8" customFormat="1" customHeight="1" s="79">
      <c r="A78" s="216" t="n"/>
      <c r="B78" s="216" t="n"/>
      <c r="C78" s="216" t="n"/>
      <c r="D78" s="216" t="n"/>
      <c r="E78" s="216" t="n"/>
      <c r="F78" s="216" t="n"/>
      <c r="G78" s="216" t="n"/>
    </row>
    <row r="79" ht="13.8" customFormat="1" customHeight="1" s="79">
      <c r="A79" s="124" t="n">
        <v>25</v>
      </c>
      <c r="B79" s="38" t="inlineStr">
        <is>
          <t xml:space="preserve">W: Voor mij geldt als basis stabiliteit, waardering en een veilige
plaats op het werk.
</t>
        </is>
      </c>
      <c r="C79" s="228" t="n"/>
      <c r="D79" s="228" t="n"/>
      <c r="E79" s="228" t="n"/>
      <c r="F79" s="228" t="n"/>
      <c r="G79" s="228" t="n"/>
    </row>
    <row r="80" ht="13.8" customFormat="1" customHeight="1" s="79">
      <c r="A80" s="215" t="n"/>
      <c r="B80" s="216" t="n"/>
      <c r="C80" s="215" t="n"/>
      <c r="D80" s="215" t="n"/>
      <c r="E80" s="215" t="n"/>
      <c r="F80" s="215" t="n"/>
      <c r="G80" s="215" t="n"/>
    </row>
    <row r="81" ht="13.8" customFormat="1" customHeight="1" s="79">
      <c r="A81" s="216" t="n"/>
      <c r="B81" s="55" t="inlineStr">
        <is>
          <t>V: Als basis geldt voor mij dat ik vooruit wil komen in de werkomgeving.</t>
        </is>
      </c>
      <c r="C81" s="216" t="n"/>
      <c r="D81" s="216" t="n"/>
      <c r="E81" s="216" t="n"/>
      <c r="F81" s="216" t="n"/>
      <c r="G81" s="216" t="n"/>
    </row>
    <row r="82" ht="13.8" customFormat="1" customHeight="1" s="79">
      <c r="A82" s="124" t="n">
        <v>26</v>
      </c>
      <c r="B82" s="38" t="inlineStr">
        <is>
          <t xml:space="preserve">V: Ik denk dat geld, macht en aanzien een belangrijke maatstaf
zijn van een succesvolle loopbaan.
</t>
        </is>
      </c>
      <c r="C82" s="228" t="n"/>
      <c r="D82" s="228" t="n"/>
      <c r="E82" s="228" t="n"/>
      <c r="F82" s="228" t="n"/>
      <c r="G82" s="228" t="n"/>
    </row>
    <row r="83" ht="13.8" customFormat="1" customHeight="1" s="79">
      <c r="A83" s="215" t="n"/>
      <c r="B83" s="216" t="n"/>
      <c r="C83" s="215" t="n"/>
      <c r="D83" s="215" t="n"/>
      <c r="E83" s="215" t="n"/>
      <c r="F83" s="215" t="n"/>
      <c r="G83" s="215" t="n"/>
    </row>
    <row r="84" ht="13.8" customFormat="1" customHeight="1" s="79">
      <c r="A84" s="215" t="n"/>
      <c r="B84" s="38" t="inlineStr">
        <is>
          <t xml:space="preserve">Y: Ik denk dat een loopbaan succesvol is als je evenveel tijd hebt
voor het werk, het gezin en je eigen ontwikkeling.
</t>
        </is>
      </c>
      <c r="C84" s="215" t="n"/>
      <c r="D84" s="215" t="n"/>
      <c r="E84" s="215" t="n"/>
      <c r="F84" s="215" t="n"/>
      <c r="G84" s="215" t="n"/>
    </row>
    <row r="85" ht="13.8" customFormat="1" customHeight="1" s="79">
      <c r="A85" s="216" t="n"/>
      <c r="B85" s="216" t="n"/>
      <c r="C85" s="216" t="n"/>
      <c r="D85" s="216" t="n"/>
      <c r="E85" s="216" t="n"/>
      <c r="F85" s="216" t="n"/>
      <c r="G85" s="216" t="n"/>
    </row>
    <row r="86" ht="13.8" customFormat="1" customHeight="1" s="79">
      <c r="A86" s="124" t="n">
        <v>27</v>
      </c>
      <c r="B86" s="53" t="inlineStr">
        <is>
          <t>Z: Ik wil liever uitblinken op mijn gebied.</t>
        </is>
      </c>
      <c r="C86" s="228" t="n"/>
      <c r="D86" s="228" t="n"/>
      <c r="E86" s="228" t="n"/>
      <c r="F86" s="228" t="n"/>
      <c r="G86" s="228" t="n"/>
    </row>
    <row r="87" ht="13.8" customFormat="1" customHeight="1" s="79">
      <c r="A87" s="216" t="n"/>
      <c r="B87" s="55" t="inlineStr">
        <is>
          <t>W: Ik wil liever beschouwd worden als betrouwbaar en loyaal.</t>
        </is>
      </c>
      <c r="C87" s="216" t="n"/>
      <c r="D87" s="216" t="n"/>
      <c r="E87" s="216" t="n"/>
      <c r="F87" s="216" t="n"/>
      <c r="G87" s="216" t="n"/>
    </row>
    <row r="88" ht="13.8" customFormat="1" customHeight="1" s="79">
      <c r="A88" s="124" t="n">
        <v>28</v>
      </c>
      <c r="B88" s="38" t="inlineStr">
        <is>
          <t xml:space="preserve">W: Ik geef de voorkeur aan het werken met een team op lange termijn
en een hechte basis.
</t>
        </is>
      </c>
      <c r="C88" s="228" t="n"/>
      <c r="D88" s="228" t="n"/>
      <c r="E88" s="228" t="n"/>
      <c r="F88" s="228" t="n"/>
      <c r="G88" s="228" t="n"/>
    </row>
    <row r="89" ht="13.8" customFormat="1" customHeight="1" s="79">
      <c r="A89" s="215" t="n"/>
      <c r="B89" s="216" t="n"/>
      <c r="C89" s="215" t="n"/>
      <c r="D89" s="215" t="n"/>
      <c r="E89" s="215" t="n"/>
      <c r="F89" s="215" t="n"/>
      <c r="G89" s="215" t="n"/>
    </row>
    <row r="90" ht="13.8" customFormat="1" customHeight="1" s="79">
      <c r="A90" s="215" t="n"/>
      <c r="B90" s="38" t="inlineStr">
        <is>
          <t xml:space="preserve">Z: Ik geef de voorkeur aan het werken met een taakgerichte of projectgroep
op korte termijn basis en in een hoog tempo.
</t>
        </is>
      </c>
      <c r="C90" s="215" t="n"/>
      <c r="D90" s="215" t="n"/>
      <c r="E90" s="215" t="n"/>
      <c r="F90" s="215" t="n"/>
      <c r="G90" s="215" t="n"/>
    </row>
    <row r="91" ht="13.8" customFormat="1" customHeight="1" s="79">
      <c r="A91" s="216" t="n"/>
      <c r="B91" s="216" t="n"/>
      <c r="C91" s="216" t="n"/>
      <c r="D91" s="216" t="n"/>
      <c r="E91" s="216" t="n"/>
      <c r="F91" s="216" t="n"/>
      <c r="G91" s="216" t="n"/>
    </row>
    <row r="92" ht="13.8" customFormat="1" customHeight="1" s="79">
      <c r="A92" s="133" t="n">
        <v>29</v>
      </c>
      <c r="B92" s="38" t="inlineStr">
        <is>
          <t xml:space="preserve">Z: Ik geef de voorkeur aan professionele ontwikkeling en permanente
training.
</t>
        </is>
      </c>
      <c r="C92" s="228" t="n"/>
      <c r="D92" s="228" t="n"/>
      <c r="E92" s="228" t="n"/>
      <c r="F92" s="228" t="n"/>
      <c r="G92" s="228" t="n"/>
    </row>
    <row r="93" ht="13.8" customFormat="1" customHeight="1" s="79">
      <c r="A93" s="215" t="n"/>
      <c r="B93" s="216" t="n"/>
      <c r="C93" s="215" t="n"/>
      <c r="D93" s="215" t="n"/>
      <c r="E93" s="215" t="n"/>
      <c r="F93" s="215" t="n"/>
      <c r="G93" s="215" t="n"/>
    </row>
    <row r="94" ht="13.8" customFormat="1" customHeight="1" s="79">
      <c r="A94" s="215" t="n"/>
      <c r="B94" s="38" t="inlineStr">
        <is>
          <t xml:space="preserve">X: Ik geef de voorkeur aan professionele ontwikkeling om een expert te 
worden en om meer flexibiliteit en onafhankelijkheid te verkrijgen.
</t>
        </is>
      </c>
      <c r="C94" s="215" t="n"/>
      <c r="D94" s="215" t="n"/>
      <c r="E94" s="215" t="n"/>
      <c r="F94" s="215" t="n"/>
      <c r="G94" s="215" t="n"/>
    </row>
    <row r="95" ht="13.8" customFormat="1" customHeight="1" s="79">
      <c r="A95" s="215" t="n"/>
      <c r="B95" s="216" t="n"/>
      <c r="C95" s="216" t="n"/>
      <c r="D95" s="216" t="n"/>
      <c r="E95" s="216" t="n"/>
      <c r="F95" s="216" t="n"/>
      <c r="G95" s="216" t="n"/>
    </row>
    <row r="96" ht="13.8" customFormat="1" customHeight="1" s="79">
      <c r="A96" s="124" t="n">
        <v>30</v>
      </c>
      <c r="B96" s="38" t="inlineStr">
        <is>
          <t xml:space="preserve">Y: Ik geef de voorkeur aan een werksituatie die een evenwicht garandeert
tussen mijn privé-leven en mijn werk.
</t>
        </is>
      </c>
      <c r="C96" s="228" t="n"/>
      <c r="D96" s="228" t="n"/>
      <c r="E96" s="228" t="n"/>
      <c r="F96" s="228" t="n"/>
      <c r="G96" s="228" t="n"/>
    </row>
    <row r="97" ht="13.8" customFormat="1" customHeight="1" s="79">
      <c r="A97" s="215" t="n"/>
      <c r="B97" s="216" t="n"/>
      <c r="C97" s="215" t="n"/>
      <c r="D97" s="215" t="n"/>
      <c r="E97" s="215" t="n"/>
      <c r="F97" s="215" t="n"/>
      <c r="G97" s="215" t="n"/>
    </row>
    <row r="98" ht="13.8" customFormat="1" customHeight="1" s="79">
      <c r="A98" s="215" t="n"/>
      <c r="B98" s="38" t="inlineStr">
        <is>
          <t xml:space="preserve">Z: Ik geef de voorkeur aan een werksituatie die opwindend is en
mij stimuleert.
</t>
        </is>
      </c>
      <c r="C98" s="215" t="n"/>
      <c r="D98" s="215" t="n"/>
      <c r="E98" s="215" t="n"/>
      <c r="F98" s="215" t="n"/>
      <c r="G98" s="215" t="n"/>
    </row>
    <row r="99" ht="13.8" customFormat="1" customHeight="1" s="79">
      <c r="A99" s="216" t="n"/>
      <c r="B99" s="216" t="n"/>
      <c r="C99" s="216" t="n"/>
      <c r="D99" s="216" t="n"/>
      <c r="E99" s="216" t="n"/>
      <c r="F99" s="216" t="n"/>
      <c r="G99" s="216" t="n"/>
    </row>
    <row r="100" ht="13.8" customFormat="1" customHeight="1" s="79">
      <c r="A100" s="184" t="inlineStr">
        <is>
          <t>Totaal score</t>
        </is>
      </c>
      <c r="B100" s="220" t="n"/>
      <c r="C100" s="13">
        <f>SUM(C4:C99)</f>
        <v/>
      </c>
      <c r="D100" s="13">
        <f>SUM(D4:D99)</f>
        <v/>
      </c>
      <c r="E100" s="13">
        <f>SUM(E4:E99)</f>
        <v/>
      </c>
      <c r="F100" s="13">
        <f>SUM(F4:F99)</f>
        <v/>
      </c>
      <c r="G100" s="13">
        <f>SUM(G4:G99)</f>
        <v/>
      </c>
    </row>
    <row r="101" ht="13.8" customFormat="1" customHeight="1" s="79">
      <c r="A101" s="225" t="n"/>
      <c r="B101" s="227" t="n"/>
      <c r="C101" s="12">
        <f>C100+D100+E100+F100+G100</f>
        <v/>
      </c>
      <c r="D101" s="213" t="n"/>
      <c r="E101" s="213" t="n"/>
      <c r="F101" s="213" t="n"/>
      <c r="G101" s="214" t="n"/>
    </row>
    <row r="102" ht="13.8" customFormat="1" customHeight="1" s="79">
      <c r="A102" s="36" t="n"/>
    </row>
    <row r="103" ht="13.8" customFormat="1" customHeight="1" s="79">
      <c r="A103" s="81" t="inlineStr">
        <is>
          <t>Score</t>
        </is>
      </c>
      <c r="B103" s="81" t="inlineStr">
        <is>
          <t>Omschrijving</t>
        </is>
      </c>
      <c r="C103" s="81" t="inlineStr">
        <is>
          <t>Omhoog | V</t>
        </is>
      </c>
      <c r="D103" s="81" t="inlineStr">
        <is>
          <t>Veilig | W</t>
        </is>
      </c>
      <c r="E103" s="81" t="inlineStr">
        <is>
          <t>Vrij | X</t>
        </is>
      </c>
      <c r="F103" s="81" t="inlineStr">
        <is>
          <t>Balans | Y</t>
        </is>
      </c>
      <c r="G103" s="81" t="inlineStr">
        <is>
          <t>Uitdaging | Z</t>
        </is>
      </c>
    </row>
    <row r="104" ht="13.8" customFormat="1" customHeight="1" s="79">
      <c r="A104" s="12" t="n">
        <v>12</v>
      </c>
      <c r="B104" s="126" t="inlineStr">
        <is>
          <t>Sterk</t>
        </is>
      </c>
      <c r="C104" s="18" t="n"/>
      <c r="D104" s="18" t="n"/>
      <c r="E104" s="18" t="n"/>
      <c r="F104" s="18" t="n"/>
      <c r="G104" s="18" t="n"/>
    </row>
    <row r="105" ht="13.8" customFormat="1" customHeight="1" s="79">
      <c r="A105" s="12" t="n">
        <v>11</v>
      </c>
      <c r="B105" s="215" t="n"/>
      <c r="C105" s="58" t="n"/>
      <c r="D105" s="58" t="n"/>
      <c r="E105" s="58" t="n"/>
      <c r="F105" s="58" t="n"/>
      <c r="G105" s="58" t="n"/>
    </row>
    <row r="106" ht="13.8" customFormat="1" customHeight="1" s="79">
      <c r="A106" s="12" t="n">
        <v>10</v>
      </c>
      <c r="B106" s="215" t="n"/>
      <c r="C106" s="58" t="n"/>
      <c r="D106" s="58" t="n"/>
      <c r="E106" s="58" t="n"/>
      <c r="F106" s="58" t="n"/>
      <c r="G106" s="58" t="n"/>
    </row>
    <row r="107" ht="13.8" customFormat="1" customHeight="1" s="79">
      <c r="A107" s="12" t="n">
        <v>9</v>
      </c>
      <c r="B107" s="216" t="n"/>
      <c r="C107" s="58" t="n"/>
      <c r="D107" s="58" t="n"/>
      <c r="E107" s="58" t="n"/>
      <c r="F107" s="58" t="n"/>
      <c r="G107" s="58" t="n"/>
    </row>
    <row r="108" ht="15" customFormat="1" customHeight="1" s="79">
      <c r="A108" s="12" t="n">
        <v>8</v>
      </c>
      <c r="B108" s="126" t="inlineStr">
        <is>
          <t>Neutraal</t>
        </is>
      </c>
      <c r="C108" s="58" t="n"/>
      <c r="D108" s="58" t="n"/>
      <c r="E108" s="58" t="n"/>
      <c r="F108" s="58" t="n"/>
      <c r="G108" s="58" t="n"/>
    </row>
    <row r="109" ht="13.8" customFormat="1" customHeight="1" s="79">
      <c r="A109" s="12" t="n">
        <v>7</v>
      </c>
      <c r="B109" s="215" t="n"/>
      <c r="C109" s="58" t="n"/>
      <c r="D109" s="58" t="n"/>
      <c r="E109" s="58" t="n"/>
      <c r="F109" s="58" t="n"/>
      <c r="G109" s="58" t="n"/>
    </row>
    <row r="110" ht="13.8" customFormat="1" customHeight="1" s="79">
      <c r="A110" s="12" t="n">
        <v>6</v>
      </c>
      <c r="B110" s="215" t="n"/>
      <c r="C110" s="58" t="n"/>
      <c r="D110" s="58" t="n"/>
      <c r="E110" s="58" t="n"/>
      <c r="F110" s="58" t="n"/>
      <c r="G110" s="58" t="n"/>
    </row>
    <row r="111" ht="13.8" customFormat="1" customHeight="1" s="79">
      <c r="A111" s="12" t="n">
        <v>5</v>
      </c>
      <c r="B111" s="216" t="n"/>
      <c r="C111" s="58" t="n"/>
      <c r="D111" s="58" t="n"/>
      <c r="E111" s="58" t="n"/>
      <c r="F111" s="58" t="n"/>
      <c r="G111" s="58" t="n"/>
    </row>
    <row r="112" ht="15" customFormat="1" customHeight="1" s="79">
      <c r="A112" s="12" t="n">
        <v>4</v>
      </c>
      <c r="B112" s="126" t="inlineStr">
        <is>
          <t>Matig</t>
        </is>
      </c>
      <c r="C112" s="58" t="n"/>
      <c r="D112" s="58" t="n"/>
      <c r="E112" s="58" t="n"/>
      <c r="F112" s="58" t="n"/>
      <c r="G112" s="58" t="n"/>
    </row>
    <row r="113" ht="13.8" customFormat="1" customHeight="1" s="79">
      <c r="A113" s="12" t="n">
        <v>3</v>
      </c>
      <c r="B113" s="215" t="n"/>
      <c r="C113" s="58" t="n"/>
      <c r="D113" s="58" t="n"/>
      <c r="E113" s="58" t="n"/>
      <c r="F113" s="58" t="n"/>
      <c r="G113" s="58" t="n"/>
    </row>
    <row r="114" ht="13.8" customFormat="1" customHeight="1" s="79">
      <c r="A114" s="12" t="n">
        <v>2</v>
      </c>
      <c r="B114" s="215" t="n"/>
      <c r="C114" s="58" t="n"/>
      <c r="D114" s="58" t="n"/>
      <c r="E114" s="58" t="n"/>
      <c r="F114" s="58" t="n"/>
      <c r="G114" s="58" t="n"/>
    </row>
    <row r="115" ht="13.8" customFormat="1" customHeight="1" s="79">
      <c r="A115" s="12" t="n">
        <v>1</v>
      </c>
      <c r="B115" s="215" t="n"/>
      <c r="C115" s="58" t="n"/>
      <c r="D115" s="58" t="n"/>
      <c r="E115" s="58" t="n"/>
      <c r="F115" s="58" t="n"/>
      <c r="G115" s="58" t="n"/>
    </row>
    <row r="116" ht="13.8" customFormat="1" customHeight="1" s="79">
      <c r="A116" s="12" t="n">
        <v>0</v>
      </c>
      <c r="B116" s="216" t="n"/>
      <c r="C116" s="58" t="n"/>
      <c r="D116" s="58" t="n"/>
      <c r="E116" s="58" t="n"/>
      <c r="F116" s="58" t="n"/>
      <c r="G116" s="58" t="n"/>
    </row>
    <row r="118" ht="13.8" customFormat="1" customHeight="1" s="79">
      <c r="A118" s="81" t="inlineStr">
        <is>
          <t>Loopbaananker</t>
        </is>
      </c>
      <c r="B118" s="81" t="inlineStr">
        <is>
          <t>Omschrijving</t>
        </is>
      </c>
    </row>
    <row r="119" ht="54.75" customFormat="1" customHeight="1" s="79">
      <c r="A119" s="133" t="inlineStr">
        <is>
          <t>Omhoog komen</t>
        </is>
      </c>
      <c r="B119" s="157"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44" t="n"/>
    </row>
    <row r="120" ht="82.8" customFormat="1" customHeight="1" s="79">
      <c r="A120" s="133" t="inlineStr">
        <is>
          <t>Veilig voelen</t>
        </is>
      </c>
      <c r="B120" s="157"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79">
      <c r="A121" s="133" t="inlineStr">
        <is>
          <t>Vrij zijn</t>
        </is>
      </c>
      <c r="B121" s="157"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79">
      <c r="A122" s="133" t="inlineStr">
        <is>
          <t>Balans vinden</t>
        </is>
      </c>
      <c r="B122" s="157"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8" customHeight="1">
      <c r="A123" s="124" t="inlineStr">
        <is>
          <t>Uitdaging zoeken</t>
        </is>
      </c>
      <c r="B123" s="38"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E39:E40"/>
    <mergeCell ref="D60:D63"/>
    <mergeCell ref="D53:D55"/>
    <mergeCell ref="F60:F63"/>
    <mergeCell ref="E48:E49"/>
    <mergeCell ref="G48:G49"/>
    <mergeCell ref="A88:A91"/>
    <mergeCell ref="C64:C67"/>
    <mergeCell ref="D86:D87"/>
    <mergeCell ref="D68:D70"/>
    <mergeCell ref="E64:E67"/>
    <mergeCell ref="F86:F87"/>
    <mergeCell ref="C92:C95"/>
    <mergeCell ref="C32:C34"/>
    <mergeCell ref="E32:E34"/>
    <mergeCell ref="G79:G81"/>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C60:C63"/>
    <mergeCell ref="F96:F99"/>
    <mergeCell ref="B64:B65"/>
    <mergeCell ref="F37:F38"/>
    <mergeCell ref="F15:F17"/>
    <mergeCell ref="C82:C85"/>
    <mergeCell ref="E41:E42"/>
    <mergeCell ref="G41:G42"/>
    <mergeCell ref="A50:A52"/>
    <mergeCell ref="G35:G36"/>
    <mergeCell ref="F71:F74"/>
    <mergeCell ref="C86:C87"/>
    <mergeCell ref="C50:C52"/>
    <mergeCell ref="B54:B55"/>
    <mergeCell ref="E26:E29"/>
    <mergeCell ref="F48:F49"/>
    <mergeCell ref="A35:A36"/>
    <mergeCell ref="B23:B25"/>
    <mergeCell ref="F79:F81"/>
    <mergeCell ref="G60:G63"/>
    <mergeCell ref="E75:E78"/>
    <mergeCell ref="G53:G55"/>
    <mergeCell ref="F64:F67"/>
    <mergeCell ref="D88:D91"/>
    <mergeCell ref="B56:B57"/>
    <mergeCell ref="D26:D29"/>
    <mergeCell ref="F88:F91"/>
    <mergeCell ref="D82:D85"/>
    <mergeCell ref="G86:G87"/>
    <mergeCell ref="F82:F85"/>
    <mergeCell ref="G68:G70"/>
    <mergeCell ref="C10:C14"/>
    <mergeCell ref="D7:D9"/>
    <mergeCell ref="B26:B27"/>
    <mergeCell ref="A92:A95"/>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G37:G38"/>
    <mergeCell ref="E86:E87"/>
    <mergeCell ref="D41:D42"/>
    <mergeCell ref="F41:F42"/>
    <mergeCell ref="A79:A81"/>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F92:F95"/>
    <mergeCell ref="B75:B76"/>
    <mergeCell ref="E96:E99"/>
    <mergeCell ref="G96:G99"/>
    <mergeCell ref="E15:E17"/>
    <mergeCell ref="G15:G17"/>
    <mergeCell ref="B21:B22"/>
    <mergeCell ref="E71:E74"/>
    <mergeCell ref="G18:G20"/>
    <mergeCell ref="G71:G74"/>
    <mergeCell ref="E43:E44"/>
    <mergeCell ref="D15:D17"/>
    <mergeCell ref="G43:G44"/>
    <mergeCell ref="A21:A25"/>
    <mergeCell ref="B62:B63"/>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D10:D14"/>
    <mergeCell ref="F4:F6"/>
    <mergeCell ref="F10:F14"/>
    <mergeCell ref="D56:D59"/>
    <mergeCell ref="G92:G95"/>
    <mergeCell ref="D71:D74"/>
    <mergeCell ref="F56:F59"/>
    <mergeCell ref="E68:E70"/>
    <mergeCell ref="E4:E6"/>
    <mergeCell ref="G75:G78"/>
    <mergeCell ref="B51:B52"/>
    <mergeCell ref="F21:F25"/>
    <mergeCell ref="A96:A99"/>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79" min="1" max="1"/>
    <col width="81.6640625" bestFit="1" customWidth="1" style="79" min="2" max="2"/>
    <col width="5.33203125" bestFit="1" customWidth="1" style="10" min="3" max="3"/>
    <col width="37.109375" bestFit="1" customWidth="1" style="79" min="4" max="4"/>
    <col width="5.33203125" bestFit="1" customWidth="1" style="10" min="5" max="5"/>
    <col width="32.109375" bestFit="1" customWidth="1" style="79" min="6" max="6"/>
    <col width="5.33203125" bestFit="1" customWidth="1" style="10" min="7" max="7"/>
    <col width="10.44140625" bestFit="1" customWidth="1" style="10" min="8" max="8"/>
    <col width="45.33203125" bestFit="1" customWidth="1" style="10" min="9" max="9"/>
    <col width="73.6640625" customWidth="1" style="79" min="10" max="10"/>
    <col width="9.109375" customWidth="1" style="79" min="11" max="16384"/>
  </cols>
  <sheetData>
    <row r="1" ht="13.2" customHeight="1">
      <c r="A1" s="39" t="inlineStr">
        <is>
          <t xml:space="preserve">Fase 2.1 | Wat wil de cliënt? | Identificatie van Carriere Clusters </t>
        </is>
      </c>
      <c r="B1" s="191" t="inlineStr">
        <is>
          <t>Beoordeling van stelling (in zijn algemeenheid) a.h.v. onderstaande criteria:</t>
        </is>
      </c>
    </row>
    <row r="2">
      <c r="B2" s="191" t="inlineStr">
        <is>
          <t>Cliënt kan zich met de stelling identificeren: 1 | Cliënt kan zich niet met de stelling identificeren: Geen entry</t>
        </is>
      </c>
    </row>
    <row r="3">
      <c r="A3" s="82" t="inlineStr">
        <is>
          <t>Cluster</t>
        </is>
      </c>
      <c r="B3" s="87" t="inlineStr">
        <is>
          <t>Activiteiten die beschrijven wat cliënt leuk vind om te doen:</t>
        </is>
      </c>
      <c r="C3" s="81" t="inlineStr">
        <is>
          <t>Score</t>
        </is>
      </c>
      <c r="D3" s="81" t="inlineStr">
        <is>
          <t>Competenties</t>
        </is>
      </c>
      <c r="E3" s="81" t="inlineStr">
        <is>
          <t>Score</t>
        </is>
      </c>
      <c r="F3" s="81" t="inlineStr">
        <is>
          <t>Educatieve onderwerpen</t>
        </is>
      </c>
      <c r="G3" s="81" t="inlineStr">
        <is>
          <t>Score</t>
        </is>
      </c>
      <c r="H3" s="81" t="inlineStr">
        <is>
          <t>Totaal score</t>
        </is>
      </c>
      <c r="I3" s="82" t="inlineStr">
        <is>
          <t>Segment</t>
        </is>
      </c>
      <c r="J3" s="82" t="inlineStr">
        <is>
          <t>Omschrijving</t>
        </is>
      </c>
    </row>
    <row r="4">
      <c r="A4" s="190" t="n">
        <v>1</v>
      </c>
      <c r="B4" s="72" t="inlineStr">
        <is>
          <t>1. Leren hoe flora en fauna groeit en in leven blijft.</t>
        </is>
      </c>
      <c r="C4" s="28" t="n"/>
      <c r="D4" s="8" t="inlineStr">
        <is>
          <t>1. Zelfredzaam</t>
        </is>
      </c>
      <c r="E4" s="58" t="n"/>
      <c r="F4" s="8" t="inlineStr">
        <is>
          <t>1. Wiskunde</t>
        </is>
      </c>
      <c r="G4" s="58" t="n"/>
      <c r="H4" s="184">
        <f>C11+E11+G11</f>
        <v/>
      </c>
      <c r="I4" s="186" t="inlineStr">
        <is>
          <t>Landbouw, voeding en natuurlijke grondstoffen</t>
        </is>
      </c>
      <c r="J4" s="181"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72" t="inlineStr">
        <is>
          <t>2. Het zo optimaal mogelijk gebruik maken van de natuurlijke grondstoffen van de aarde.</t>
        </is>
      </c>
      <c r="C5" s="28" t="n"/>
      <c r="D5" s="8" t="inlineStr">
        <is>
          <t>2. Natuurliefhebber</t>
        </is>
      </c>
      <c r="E5" s="58" t="n"/>
      <c r="F5" s="8" t="inlineStr">
        <is>
          <t>2. Beheer van natuurlijke grondstoffen</t>
        </is>
      </c>
      <c r="G5" s="58" t="n"/>
      <c r="H5" s="215" t="n"/>
      <c r="I5" s="215" t="n"/>
      <c r="J5" s="215" t="n"/>
    </row>
    <row r="6">
      <c r="B6" s="72" t="inlineStr">
        <is>
          <t>3. Jagen en/of vissen.</t>
        </is>
      </c>
      <c r="C6" s="28" t="n"/>
      <c r="D6" s="8" t="inlineStr">
        <is>
          <t>3. Fysiek actief</t>
        </is>
      </c>
      <c r="E6" s="58" t="n"/>
      <c r="F6" s="8" t="inlineStr">
        <is>
          <t>3. Aardrijkskunde</t>
        </is>
      </c>
      <c r="G6" s="58" t="n"/>
      <c r="H6" s="215" t="n"/>
      <c r="I6" s="215" t="n"/>
      <c r="J6" s="215" t="n"/>
    </row>
    <row r="7">
      <c r="B7" s="72" t="inlineStr">
        <is>
          <t>4. Het beschermen van het milieu.</t>
        </is>
      </c>
      <c r="C7" s="28" t="n"/>
      <c r="D7" s="8" t="inlineStr">
        <is>
          <t>4. Planner</t>
        </is>
      </c>
      <c r="E7" s="58" t="n"/>
      <c r="F7" s="8" t="inlineStr">
        <is>
          <t>4. Scheikunde</t>
        </is>
      </c>
      <c r="G7" s="58" t="n"/>
      <c r="H7" s="215" t="n"/>
      <c r="I7" s="215" t="n"/>
      <c r="J7" s="215" t="n"/>
    </row>
    <row r="8">
      <c r="B8" s="72" t="inlineStr">
        <is>
          <t>5. Buiten zijn in allerlei weersomstandigheden.</t>
        </is>
      </c>
      <c r="C8" s="28" t="n"/>
      <c r="D8" s="8" t="inlineStr">
        <is>
          <t>5. Creatieve probleemoplosser</t>
        </is>
      </c>
      <c r="E8" s="58" t="n"/>
      <c r="F8" s="57" t="inlineStr">
        <is>
          <t>5. Landbouw</t>
        </is>
      </c>
      <c r="G8" s="58" t="n"/>
      <c r="H8" s="215" t="n"/>
      <c r="I8" s="215" t="n"/>
      <c r="J8" s="215" t="n"/>
    </row>
    <row r="9">
      <c r="B9" s="72" t="inlineStr">
        <is>
          <t>6. Plannen, budgetteren en registraties bijhouden.</t>
        </is>
      </c>
      <c r="C9" s="28" t="n"/>
      <c r="D9" s="2" t="n"/>
      <c r="E9" s="58" t="n"/>
      <c r="F9" s="2" t="n"/>
      <c r="G9" s="58" t="n"/>
      <c r="H9" s="215" t="n"/>
      <c r="I9" s="215" t="n"/>
      <c r="J9" s="215" t="n"/>
    </row>
    <row r="10">
      <c r="B10" s="72" t="inlineStr">
        <is>
          <t>7. Het bedienen van machines en deze in goede conditie houden.</t>
        </is>
      </c>
      <c r="C10" s="28" t="n"/>
      <c r="D10" s="2" t="n"/>
      <c r="E10" s="58" t="n"/>
      <c r="F10" s="2" t="n"/>
      <c r="G10" s="58" t="n"/>
      <c r="H10" s="216" t="n"/>
      <c r="I10" s="216" t="n"/>
      <c r="J10" s="216" t="n"/>
    </row>
    <row r="11" customFormat="1" s="36">
      <c r="A11" s="101" t="n"/>
      <c r="B11" s="90" t="n"/>
      <c r="C11" s="12">
        <f>C4+C5+C6+C7+C8+C9+C10</f>
        <v/>
      </c>
      <c r="D11" s="92" t="n"/>
      <c r="E11" s="12">
        <f>E4+E5+E6+E7+E8+E9+E10</f>
        <v/>
      </c>
      <c r="F11" s="92" t="n"/>
      <c r="G11" s="12">
        <f>G4+G5+G6+G7+G8+G9+G10</f>
        <v/>
      </c>
      <c r="H11" s="230" t="n"/>
      <c r="J11" s="224" t="n"/>
    </row>
    <row r="12">
      <c r="A12" s="190" t="n">
        <v>2</v>
      </c>
      <c r="B12" s="72" t="inlineStr">
        <is>
          <t>1. Het lezen en volgen van blauwdrukken en/of instructies.</t>
        </is>
      </c>
      <c r="C12" s="58" t="n"/>
      <c r="D12" s="8" t="inlineStr">
        <is>
          <t>1. Nieuwsgierig</t>
        </is>
      </c>
      <c r="E12" s="58" t="n"/>
      <c r="F12" s="8" t="inlineStr">
        <is>
          <t>1. Calculeren</t>
        </is>
      </c>
      <c r="G12" s="58" t="n"/>
      <c r="H12" s="183">
        <f>C19+E19+G19</f>
        <v/>
      </c>
      <c r="I12" s="186" t="inlineStr">
        <is>
          <t>Architectuur en constructie</t>
        </is>
      </c>
      <c r="J12" s="181" t="inlineStr">
        <is>
          <t>Carrières bij het ontwerpen, plannen, beheren, bouwen en behoud van de gebouwde omgeving.</t>
        </is>
      </c>
    </row>
    <row r="13">
      <c r="B13" s="72" t="inlineStr">
        <is>
          <t>2. Inbeelden hoe een afgewerkt product eruit zal zien.</t>
        </is>
      </c>
      <c r="C13" s="58" t="n"/>
      <c r="D13" s="8" t="inlineStr">
        <is>
          <t>2. Het verstrekken van duidelijke instructies</t>
        </is>
      </c>
      <c r="E13" s="58" t="n"/>
      <c r="F13" s="8" t="inlineStr">
        <is>
          <t>2. Technisch tekenen</t>
        </is>
      </c>
      <c r="G13" s="58" t="n"/>
      <c r="H13" s="215" t="n"/>
      <c r="I13" s="215" t="n"/>
      <c r="J13" s="215" t="n"/>
    </row>
    <row r="14">
      <c r="B14" s="72" t="inlineStr">
        <is>
          <t>3. Werken met de handen.</t>
        </is>
      </c>
      <c r="C14" s="58" t="n"/>
      <c r="D14" s="8" t="inlineStr">
        <is>
          <t>3. Aandacht besteden aan details</t>
        </is>
      </c>
      <c r="E14" s="58" t="n"/>
      <c r="F14" s="8" t="inlineStr">
        <is>
          <t>3. Exacte wetenschappen</t>
        </is>
      </c>
      <c r="G14" s="58" t="n"/>
      <c r="H14" s="215" t="n"/>
      <c r="I14" s="215" t="n"/>
      <c r="J14" s="215" t="n"/>
    </row>
    <row r="15">
      <c r="B15" s="72" t="inlineStr">
        <is>
          <t>4. Het uitvoeren van werkzaamheden die nauwkeurige resultaten vereisen.</t>
        </is>
      </c>
      <c r="C15" s="58" t="n"/>
      <c r="D15" s="8" t="inlineStr">
        <is>
          <t>4. Goed in het visualiseren van mogelijkheden</t>
        </is>
      </c>
      <c r="E15" s="58" t="n"/>
      <c r="F15" s="8" t="inlineStr">
        <is>
          <t>4. Architectuur</t>
        </is>
      </c>
      <c r="G15" s="58" t="n"/>
      <c r="H15" s="215" t="n"/>
      <c r="I15" s="215" t="n"/>
      <c r="J15" s="215" t="n"/>
    </row>
    <row r="16">
      <c r="B16" s="72" t="inlineStr">
        <is>
          <t>5. Het oplossen van technische problemen.</t>
        </is>
      </c>
      <c r="C16" s="58" t="n"/>
      <c r="D16" s="8" t="inlineStr">
        <is>
          <t>5. Geduldig en persistent</t>
        </is>
      </c>
      <c r="E16" s="58" t="n"/>
      <c r="F16" s="231" t="inlineStr">
        <is>
          <t xml:space="preserve">5. Elektrische warmtebronnen,
Airconditioning en koeltechniek
</t>
        </is>
      </c>
      <c r="G16" s="58" t="n"/>
      <c r="H16" s="215" t="n"/>
      <c r="I16" s="215" t="n"/>
      <c r="J16" s="215" t="n"/>
    </row>
    <row r="17">
      <c r="B17" s="72" t="inlineStr">
        <is>
          <t>6. Het bezoeken en onderzoeken van mooie, historische en/of interessante gebouwen.</t>
        </is>
      </c>
      <c r="C17" s="58" t="n"/>
      <c r="D17" s="8" t="n"/>
      <c r="E17" s="58" t="n"/>
      <c r="F17" s="216" t="n"/>
      <c r="G17" s="58" t="n"/>
      <c r="H17" s="215" t="n"/>
      <c r="I17" s="215" t="n"/>
      <c r="J17" s="215" t="n"/>
    </row>
    <row r="18">
      <c r="B18" s="72" t="inlineStr">
        <is>
          <t>7. Het opvolgen van logische en stapsgewijze procedures.</t>
        </is>
      </c>
      <c r="C18" s="58" t="n"/>
      <c r="D18" s="8" t="n"/>
      <c r="E18" s="58" t="n"/>
      <c r="F18" s="8" t="n"/>
      <c r="G18" s="58" t="n"/>
      <c r="H18" s="216" t="n"/>
      <c r="I18" s="216" t="n"/>
      <c r="J18" s="216" t="n"/>
    </row>
    <row r="19" customFormat="1" s="36">
      <c r="A19" s="101" t="n"/>
      <c r="B19" s="90" t="n"/>
      <c r="C19" s="12">
        <f>C12+C13+C14+C15+C16+C17+C18</f>
        <v/>
      </c>
      <c r="D19" s="92" t="n"/>
      <c r="E19" s="12">
        <f>E12+E13+E14+E15+E16+E17+E18</f>
        <v/>
      </c>
      <c r="F19" s="93" t="n"/>
      <c r="G19" s="12">
        <f>G12+G13+G14+G15+G16+G17+G18</f>
        <v/>
      </c>
      <c r="H19" s="230" t="n"/>
      <c r="J19" s="224" t="n"/>
    </row>
    <row r="20">
      <c r="A20" s="190" t="n">
        <v>3</v>
      </c>
      <c r="B20" s="72" t="inlineStr">
        <is>
          <t>1. Het gebruik van verbeeldingskracht om informatie naar anderen te communiceren.</t>
        </is>
      </c>
      <c r="C20" s="58" t="n"/>
      <c r="D20" s="8" t="inlineStr">
        <is>
          <t>1. Creatief en fantasierijk</t>
        </is>
      </c>
      <c r="E20" s="58" t="n"/>
      <c r="F20" s="8" t="inlineStr">
        <is>
          <t>1. Kunst en grafisch ontwerp</t>
        </is>
      </c>
      <c r="G20" s="58" t="n"/>
      <c r="H20" s="183">
        <f>C27+E27+G27</f>
        <v/>
      </c>
      <c r="I20" s="186" t="inlineStr">
        <is>
          <t>Kunst, audio- visuele technologie en communicatie</t>
        </is>
      </c>
      <c r="J20" s="181" t="inlineStr">
        <is>
          <t>Ontwerpen, produceren, vertonen, uitvoeren, schrijven en publiceren van multimedia-inhoud waaronder visuele en podiumkunsten, design, journalistiek en entertainmentdiensten.</t>
        </is>
      </c>
    </row>
    <row r="21">
      <c r="B21" s="72" t="inlineStr">
        <is>
          <t>2. Klaar staan voor anderen.</t>
        </is>
      </c>
      <c r="C21" s="58" t="n"/>
      <c r="D21" s="8" t="inlineStr">
        <is>
          <t>2. Goede communicator</t>
        </is>
      </c>
      <c r="E21" s="58" t="n"/>
      <c r="F21" s="8" t="inlineStr">
        <is>
          <t>2. Muziek</t>
        </is>
      </c>
      <c r="G21" s="58" t="n"/>
      <c r="H21" s="215" t="n"/>
      <c r="I21" s="215" t="n"/>
      <c r="J21" s="215" t="n"/>
    </row>
    <row r="22">
      <c r="B22" s="72" t="inlineStr">
        <is>
          <t>3. Lezen en schrijven.</t>
        </is>
      </c>
      <c r="C22" s="58" t="n"/>
      <c r="D22" s="8" t="inlineStr">
        <is>
          <t>3. Benieuwd naar nieuwe technologie</t>
        </is>
      </c>
      <c r="E22" s="58" t="n"/>
      <c r="F22" s="8" t="inlineStr">
        <is>
          <t>3. Spraak en drama</t>
        </is>
      </c>
      <c r="G22" s="58" t="n"/>
      <c r="H22" s="215" t="n"/>
      <c r="I22" s="215" t="n"/>
      <c r="J22" s="215" t="n"/>
    </row>
    <row r="23">
      <c r="B23" s="72" t="inlineStr">
        <is>
          <t>4. Het bespelen van een muziekinstrument.</t>
        </is>
      </c>
      <c r="C23" s="58" t="n"/>
      <c r="D23" s="8" t="inlineStr">
        <is>
          <t>4. Symphatisch en emphatisch</t>
        </is>
      </c>
      <c r="E23" s="58" t="n"/>
      <c r="F23" s="8" t="inlineStr">
        <is>
          <t>4. Journalistiek en literatuur</t>
        </is>
      </c>
      <c r="G23" s="58" t="n"/>
      <c r="H23" s="215" t="n"/>
      <c r="I23" s="215" t="n"/>
      <c r="J23" s="215" t="n"/>
    </row>
    <row r="24">
      <c r="B24" s="72" t="inlineStr">
        <is>
          <t>5. Het uitvoeren van creatieve en/of artistieke activiteiten.</t>
        </is>
      </c>
      <c r="C24" s="58" t="n"/>
      <c r="D24" s="8" t="inlineStr">
        <is>
          <t>5. Bepalend en vasthoudend</t>
        </is>
      </c>
      <c r="E24" s="58" t="n"/>
      <c r="F24" s="8" t="inlineStr">
        <is>
          <t>5. Audiovisuele technologie</t>
        </is>
      </c>
      <c r="G24" s="58" t="n"/>
      <c r="H24" s="215" t="n"/>
      <c r="I24" s="215" t="n"/>
      <c r="J24" s="215" t="n"/>
    </row>
    <row r="25">
      <c r="B25" s="72" t="inlineStr">
        <is>
          <t>6. Het gebruik van video- en opnametechnologie.</t>
        </is>
      </c>
      <c r="C25" s="58" t="n"/>
      <c r="D25" s="8" t="n"/>
      <c r="E25" s="58" t="n"/>
      <c r="F25" s="9" t="n"/>
      <c r="G25" s="58" t="n"/>
      <c r="H25" s="215" t="n"/>
      <c r="I25" s="215" t="n"/>
      <c r="J25" s="215" t="n"/>
    </row>
    <row r="26">
      <c r="B26" s="72" t="inlineStr">
        <is>
          <t>7. Het ontwerpen van brochures en posters.</t>
        </is>
      </c>
      <c r="C26" s="58" t="n"/>
      <c r="D26" s="8" t="n"/>
      <c r="E26" s="58" t="n"/>
      <c r="F26" s="2" t="n"/>
      <c r="G26" s="58" t="n"/>
      <c r="H26" s="216" t="n"/>
      <c r="I26" s="216" t="n"/>
      <c r="J26" s="216" t="n"/>
    </row>
    <row r="27" customFormat="1" s="36">
      <c r="A27" s="101" t="n"/>
      <c r="B27" s="90" t="n"/>
      <c r="C27" s="12">
        <f>C20+C21+C22+C23+C24+C25+C26</f>
        <v/>
      </c>
      <c r="D27" s="94" t="n"/>
      <c r="E27" s="12">
        <f>E20+E21+E22+E23+E24+E25+E26</f>
        <v/>
      </c>
      <c r="F27" s="92" t="n"/>
      <c r="G27" s="12">
        <f>G20+G21+G22+G23+G24+G25+G26</f>
        <v/>
      </c>
      <c r="H27" s="230" t="n"/>
      <c r="J27" s="224" t="n"/>
    </row>
    <row r="28">
      <c r="A28" s="190" t="n">
        <v>4</v>
      </c>
      <c r="B28" s="72" t="inlineStr">
        <is>
          <t xml:space="preserve">1. Het uitvoeren van routine en/of georganiseerde activiteiten maar ook flexibel kunnen zijn. </t>
        </is>
      </c>
      <c r="C28" s="58" t="n"/>
      <c r="D28" s="8" t="inlineStr">
        <is>
          <t>1. Georganiseerd</t>
        </is>
      </c>
      <c r="E28" s="58" t="n"/>
      <c r="F28" s="8" t="inlineStr">
        <is>
          <t>1. ICT</t>
        </is>
      </c>
      <c r="G28" s="58" t="n"/>
      <c r="H28" s="183">
        <f>C35+E35+G35</f>
        <v/>
      </c>
      <c r="I28" s="186" t="inlineStr">
        <is>
          <t>Business Management en administratie</t>
        </is>
      </c>
      <c r="J28" s="181"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72" t="inlineStr">
        <is>
          <t>2. Werken met getallen en gedetailleerde informatie.</t>
        </is>
      </c>
      <c r="C29" s="58" t="n"/>
      <c r="D29" s="8" t="inlineStr">
        <is>
          <t>2. Praktisch en logisch</t>
        </is>
      </c>
      <c r="E29" s="58" t="n"/>
      <c r="F29" s="8" t="inlineStr">
        <is>
          <t>2. Boekhouding</t>
        </is>
      </c>
      <c r="G29" s="58" t="n"/>
      <c r="H29" s="215" t="n"/>
      <c r="I29" s="215" t="n"/>
      <c r="J29" s="215" t="n"/>
    </row>
    <row r="30">
      <c r="B30" s="72" t="inlineStr">
        <is>
          <t>3. Een leider zijn in een groep.</t>
        </is>
      </c>
      <c r="C30" s="58" t="n"/>
      <c r="D30" s="8" t="inlineStr">
        <is>
          <t>3. Geduldig</t>
        </is>
      </c>
      <c r="E30" s="58" t="n"/>
      <c r="F30" s="8" t="inlineStr">
        <is>
          <t>3. Kostprijs berekeningen</t>
        </is>
      </c>
      <c r="G30" s="58" t="n"/>
      <c r="H30" s="215" t="n"/>
      <c r="I30" s="215" t="n"/>
      <c r="J30" s="215" t="n"/>
    </row>
    <row r="31">
      <c r="B31" s="72" t="inlineStr">
        <is>
          <t>4. Zakelijk contact maken met mensen.</t>
        </is>
      </c>
      <c r="C31" s="58" t="n"/>
      <c r="D31" s="8" t="inlineStr">
        <is>
          <t>4. Tactvol</t>
        </is>
      </c>
      <c r="E31" s="58" t="n"/>
      <c r="F31" s="8" t="inlineStr">
        <is>
          <t>4. Engels</t>
        </is>
      </c>
      <c r="G31" s="58" t="n"/>
      <c r="H31" s="215" t="n"/>
      <c r="I31" s="215" t="n"/>
      <c r="J31" s="215" t="n"/>
    </row>
    <row r="32">
      <c r="B32" s="72" t="inlineStr">
        <is>
          <t>5. Werken met computerprogramma's.</t>
        </is>
      </c>
      <c r="C32" s="58" t="n"/>
      <c r="D32" s="8" t="inlineStr">
        <is>
          <t>5. Verantwoordelijk</t>
        </is>
      </c>
      <c r="E32" s="58" t="n"/>
      <c r="F32" s="57" t="inlineStr">
        <is>
          <t>5. Economie</t>
        </is>
      </c>
      <c r="G32" s="58" t="n"/>
      <c r="H32" s="215" t="n"/>
      <c r="I32" s="215" t="n"/>
      <c r="J32" s="215" t="n"/>
    </row>
    <row r="33">
      <c r="B33" s="72" t="inlineStr">
        <is>
          <t>6. Het maken van rapporten en het communiceren van ideeën.</t>
        </is>
      </c>
      <c r="C33" s="58" t="n"/>
      <c r="D33" s="2" t="n"/>
      <c r="E33" s="58" t="n"/>
      <c r="F33" s="8" t="n"/>
      <c r="G33" s="58" t="n"/>
      <c r="H33" s="215" t="n"/>
      <c r="I33" s="215" t="n"/>
      <c r="J33" s="215" t="n"/>
    </row>
    <row r="34">
      <c r="B34" s="72" t="inlineStr">
        <is>
          <t>7. Het plannen van werk en het volgen van instructies</t>
        </is>
      </c>
      <c r="C34" s="58" t="n"/>
      <c r="D34" s="2" t="n"/>
      <c r="E34" s="58" t="n"/>
      <c r="F34" s="8" t="n"/>
      <c r="G34" s="58" t="n"/>
      <c r="H34" s="216" t="n"/>
      <c r="I34" s="216" t="n"/>
      <c r="J34" s="216" t="n"/>
    </row>
    <row r="35" customFormat="1" s="36">
      <c r="A35" s="101" t="n"/>
      <c r="B35" s="90" t="n"/>
      <c r="C35" s="12">
        <f>C28+C29+C30+C31+C32+C33+C34</f>
        <v/>
      </c>
      <c r="D35" s="92" t="n"/>
      <c r="E35" s="12">
        <f>E28+E29+E30+E31+E32+E33+E34</f>
        <v/>
      </c>
      <c r="F35" s="94" t="n"/>
      <c r="G35" s="12">
        <f>G28+G29+G30+G31+G32+G33+G34</f>
        <v/>
      </c>
      <c r="H35" s="230" t="n"/>
      <c r="J35" s="224" t="n"/>
    </row>
    <row r="36">
      <c r="A36" s="190" t="n">
        <v>5</v>
      </c>
      <c r="B36" s="72" t="inlineStr">
        <is>
          <t>1. Communiceren met verschillende soorten mensen.</t>
        </is>
      </c>
      <c r="C36" s="58" t="n"/>
      <c r="D36" s="8" t="inlineStr">
        <is>
          <t>1. Vriendelijk</t>
        </is>
      </c>
      <c r="E36" s="58" t="n"/>
      <c r="F36" s="8" t="inlineStr">
        <is>
          <t>1. Taalvaardigheid</t>
        </is>
      </c>
      <c r="G36" s="58" t="n"/>
      <c r="H36" s="183">
        <f>C43+E43+G43</f>
        <v/>
      </c>
      <c r="I36" s="186" t="inlineStr">
        <is>
          <t>Educatie en training</t>
        </is>
      </c>
      <c r="J36" s="181" t="inlineStr">
        <is>
          <t>Planning, beheer en verstrekking van onderwijs- en opleidingsdiensten en gerelateerde ondersteuningsdiensten.</t>
        </is>
      </c>
    </row>
    <row r="37">
      <c r="B37" s="72" t="inlineStr">
        <is>
          <t>2. Anderen helpen met hun huiswerk of met het leren beheersen van nieuwe onderwerpen.</t>
        </is>
      </c>
      <c r="C37" s="58" t="n"/>
      <c r="D37" s="8" t="inlineStr">
        <is>
          <t>2. Beslisser</t>
        </is>
      </c>
      <c r="E37" s="58" t="n"/>
      <c r="F37" s="8" t="inlineStr">
        <is>
          <t>2. Sociale studies</t>
        </is>
      </c>
      <c r="G37" s="58" t="n"/>
      <c r="H37" s="215" t="n"/>
      <c r="I37" s="215" t="n"/>
      <c r="J37" s="215" t="n"/>
    </row>
    <row r="38">
      <c r="B38" s="72" t="inlineStr">
        <is>
          <t>3. Naar school gaan.</t>
        </is>
      </c>
      <c r="C38" s="58" t="n"/>
      <c r="D38" s="8" t="inlineStr">
        <is>
          <t>3. Nuttig</t>
        </is>
      </c>
      <c r="E38" s="58" t="n"/>
      <c r="F38" s="8" t="inlineStr">
        <is>
          <t>3. Pedagogiek</t>
        </is>
      </c>
      <c r="G38" s="58" t="n"/>
      <c r="H38" s="215" t="n"/>
      <c r="I38" s="215" t="n"/>
      <c r="J38" s="215" t="n"/>
    </row>
    <row r="39">
      <c r="B39" s="72" t="inlineStr">
        <is>
          <t>4. Het leiden en plannen van activiteiten voor anderen.</t>
        </is>
      </c>
      <c r="C39" s="58" t="n"/>
      <c r="D39" s="8" t="inlineStr">
        <is>
          <t>4. Innovatief en nieuwsgierig</t>
        </is>
      </c>
      <c r="E39" s="58" t="n"/>
      <c r="F39" s="8" t="inlineStr">
        <is>
          <t>4. Wetenschap</t>
        </is>
      </c>
      <c r="G39" s="58" t="n"/>
      <c r="H39" s="215" t="n"/>
      <c r="I39" s="215" t="n"/>
      <c r="J39" s="215" t="n"/>
    </row>
    <row r="40">
      <c r="B40" s="72" t="inlineStr">
        <is>
          <t>5. Het uitdragen van meerdere verantwoordelijkheden tegelijk.</t>
        </is>
      </c>
      <c r="C40" s="58" t="n"/>
      <c r="D40" s="8" t="inlineStr">
        <is>
          <t>5. Goede luisteraar</t>
        </is>
      </c>
      <c r="E40" s="58" t="n"/>
      <c r="F40" s="57" t="inlineStr">
        <is>
          <t>5. Psychologie</t>
        </is>
      </c>
      <c r="G40" s="58" t="n"/>
      <c r="H40" s="215" t="n"/>
      <c r="I40" s="215" t="n"/>
      <c r="J40" s="215" t="n"/>
    </row>
    <row r="41">
      <c r="B41" s="72" t="inlineStr">
        <is>
          <t>6. Het verkrijgen van nieuwe informatie.</t>
        </is>
      </c>
      <c r="C41" s="58" t="n"/>
      <c r="D41" s="2" t="n"/>
      <c r="E41" s="58" t="n"/>
      <c r="F41" s="2" t="n"/>
      <c r="G41" s="58" t="n"/>
      <c r="H41" s="215" t="n"/>
      <c r="I41" s="215" t="n"/>
      <c r="J41" s="215" t="n"/>
    </row>
    <row r="42">
      <c r="B42" s="72" t="inlineStr">
        <is>
          <t>7. Mensen helpen om hun uitdagingen te overwinnen.</t>
        </is>
      </c>
      <c r="C42" s="58" t="n"/>
      <c r="D42" s="2" t="n"/>
      <c r="E42" s="58" t="n"/>
      <c r="F42" s="2" t="n"/>
      <c r="G42" s="58" t="n"/>
      <c r="H42" s="216" t="n"/>
      <c r="I42" s="216" t="n"/>
      <c r="J42" s="216" t="n"/>
    </row>
    <row r="43" customFormat="1" s="36">
      <c r="A43" s="101" t="n"/>
      <c r="B43" s="90" t="n"/>
      <c r="C43" s="12">
        <f>C36+C37+C38+C39+C40+C41+C42</f>
        <v/>
      </c>
      <c r="D43" s="92" t="n"/>
      <c r="E43" s="12">
        <f>E36+E37+E38+E39+E40+E41+E42</f>
        <v/>
      </c>
      <c r="F43" s="92" t="n"/>
      <c r="G43" s="12">
        <f>G36+G37+G38+G39+G40+G41+G42</f>
        <v/>
      </c>
      <c r="H43" s="230" t="n"/>
      <c r="J43" s="224" t="n"/>
    </row>
    <row r="44">
      <c r="A44" s="190" t="n">
        <v>6</v>
      </c>
      <c r="B44" s="72" t="inlineStr">
        <is>
          <t>1. Werken met cijfers.</t>
        </is>
      </c>
      <c r="C44" s="58" t="n"/>
      <c r="D44" s="8" t="inlineStr">
        <is>
          <t>1. Betrouwbaar</t>
        </is>
      </c>
      <c r="E44" s="58" t="n"/>
      <c r="F44" s="8" t="inlineStr">
        <is>
          <t>1. Belastingen</t>
        </is>
      </c>
      <c r="G44" s="58" t="n"/>
      <c r="H44" s="183">
        <f>C51+E51+G51</f>
        <v/>
      </c>
      <c r="I44" s="124" t="inlineStr">
        <is>
          <t>Financiën</t>
        </is>
      </c>
      <c r="J44" s="181" t="inlineStr">
        <is>
          <t>Planning, services voor financiële en investeringsplanning, bankieren, verzekeringen en bedrijfsfinancieel beheer.</t>
        </is>
      </c>
    </row>
    <row r="45">
      <c r="B45" s="72" t="inlineStr">
        <is>
          <t>2. Werken om een deadline te halen.</t>
        </is>
      </c>
      <c r="C45" s="58" t="n"/>
      <c r="D45" s="8" t="inlineStr">
        <is>
          <t>2. Orderlijk</t>
        </is>
      </c>
      <c r="E45" s="58" t="n"/>
      <c r="F45" s="8" t="inlineStr">
        <is>
          <t>2. Wiskunde</t>
        </is>
      </c>
      <c r="G45" s="58" t="n"/>
      <c r="H45" s="215" t="n"/>
      <c r="I45" s="215" t="n"/>
      <c r="J45" s="215" t="n"/>
    </row>
    <row r="46">
      <c r="B46" s="72" t="inlineStr">
        <is>
          <t>3. Het maken van voorspellingen op basis van bestaande feiten.</t>
        </is>
      </c>
      <c r="C46" s="58" t="n"/>
      <c r="D46" s="8" t="inlineStr">
        <is>
          <t>3. Zelfverzekerd</t>
        </is>
      </c>
      <c r="E46" s="58" t="n"/>
      <c r="F46" s="8" t="inlineStr">
        <is>
          <t>3. Economie</t>
        </is>
      </c>
      <c r="G46" s="58" t="n"/>
      <c r="H46" s="215" t="n"/>
      <c r="I46" s="215" t="n"/>
      <c r="J46" s="215" t="n"/>
    </row>
    <row r="47">
      <c r="B47" s="72" t="inlineStr">
        <is>
          <t>4. Zorgen voor een kader van regels en procedures.</t>
        </is>
      </c>
      <c r="C47" s="58" t="n"/>
      <c r="D47" s="8" t="inlineStr">
        <is>
          <t>4. Logisch</t>
        </is>
      </c>
      <c r="E47" s="58" t="n"/>
      <c r="F47" s="8" t="inlineStr">
        <is>
          <t>4. Financiële administratie</t>
        </is>
      </c>
      <c r="G47" s="58" t="n"/>
      <c r="H47" s="215" t="n"/>
      <c r="I47" s="215" t="n"/>
      <c r="J47" s="215" t="n"/>
    </row>
    <row r="48">
      <c r="B48" s="72" t="inlineStr">
        <is>
          <t>5. Het analyseren en interpreteren van financiële informatie voor anderen.</t>
        </is>
      </c>
      <c r="C48" s="58" t="n"/>
      <c r="D48" s="8" t="inlineStr">
        <is>
          <t>5. Methodisch en efficiënt</t>
        </is>
      </c>
      <c r="E48" s="58" t="n"/>
      <c r="F48" s="9" t="inlineStr">
        <is>
          <t>5. Ondernemingsrecht</t>
        </is>
      </c>
      <c r="G48" s="58" t="n"/>
      <c r="H48" s="215" t="n"/>
      <c r="I48" s="215" t="n"/>
      <c r="J48" s="215" t="n"/>
    </row>
    <row r="49">
      <c r="B49" s="72" t="inlineStr">
        <is>
          <t>6. Het met nauwkeurigheid en betrouwbaarheid behandelen van financiën.</t>
        </is>
      </c>
      <c r="C49" s="58" t="n"/>
      <c r="D49" s="2" t="n"/>
      <c r="E49" s="58" t="n"/>
      <c r="F49" s="9" t="n"/>
      <c r="G49" s="58" t="n"/>
      <c r="H49" s="215" t="n"/>
      <c r="I49" s="215" t="n"/>
      <c r="J49" s="215" t="n"/>
    </row>
    <row r="50">
      <c r="B50" s="72" t="inlineStr">
        <is>
          <t xml:space="preserve">7. Trots zijn op de manier waarop je je kleedt en presenteert. </t>
        </is>
      </c>
      <c r="C50" s="58" t="n"/>
      <c r="D50" s="2" t="n"/>
      <c r="E50" s="58" t="n"/>
      <c r="F50" s="2" t="n"/>
      <c r="G50" s="58" t="n"/>
      <c r="H50" s="216" t="n"/>
      <c r="I50" s="216" t="n"/>
      <c r="J50" s="216" t="n"/>
    </row>
    <row r="51" customFormat="1" s="36">
      <c r="A51" s="101" t="n"/>
      <c r="B51" s="90" t="n"/>
      <c r="C51" s="12">
        <f>C44+C45+C46+C47+C48+C49+C50</f>
        <v/>
      </c>
      <c r="D51" s="92" t="n"/>
      <c r="E51" s="12">
        <f>E44+E45+E46+E47+E48+E49+E50</f>
        <v/>
      </c>
      <c r="F51" s="92" t="n"/>
      <c r="G51" s="12">
        <f>G44+G45+G46+G47+G48+G49+G50</f>
        <v/>
      </c>
      <c r="H51" s="230" t="n"/>
      <c r="J51" s="224" t="n"/>
    </row>
    <row r="52">
      <c r="A52" s="190" t="n">
        <v>7</v>
      </c>
      <c r="B52" s="72" t="inlineStr">
        <is>
          <t>1. Betrokken zijn in de politiek.</t>
        </is>
      </c>
      <c r="C52" s="58" t="n"/>
      <c r="D52" s="8" t="inlineStr">
        <is>
          <t>1. Goede communicator</t>
        </is>
      </c>
      <c r="E52" s="58" t="n"/>
      <c r="F52" s="8" t="inlineStr">
        <is>
          <t>1. Politiek</t>
        </is>
      </c>
      <c r="G52" s="58" t="n"/>
      <c r="H52" s="183">
        <f>C59+E59+G59</f>
        <v/>
      </c>
      <c r="I52" s="186" t="inlineStr">
        <is>
          <t>Overheid en publieke administratie</t>
        </is>
      </c>
      <c r="J52" s="181" t="inlineStr">
        <is>
          <t>Het uitvoeren van overheidsfuncties om governance op te nemen. Denkende aan nationale veiligheid, buitenlandse dienst, planning, inkomsten en belastingen, regulatie en beheer en administratie bij de lokale staat en federale niveaus.</t>
        </is>
      </c>
    </row>
    <row r="53">
      <c r="B53" s="72" t="inlineStr">
        <is>
          <t xml:space="preserve">2. Het onderhandelen, verdedigen en/of bespreken van ideeën en onderwerpen. </t>
        </is>
      </c>
      <c r="C53" s="58" t="n"/>
      <c r="D53" s="8" t="inlineStr">
        <is>
          <t>2. Concurrerend</t>
        </is>
      </c>
      <c r="E53" s="58" t="n"/>
      <c r="F53" s="8" t="inlineStr">
        <is>
          <t>2. Taalvaardigheid</t>
        </is>
      </c>
      <c r="G53" s="58" t="n"/>
      <c r="H53" s="215" t="n"/>
      <c r="I53" s="215" t="n"/>
      <c r="J53" s="215" t="n"/>
    </row>
    <row r="54">
      <c r="B54" s="72" t="inlineStr">
        <is>
          <t xml:space="preserve">3. Het plannen van activiteiten en samenwerken met anderen. </t>
        </is>
      </c>
      <c r="C54" s="58" t="n"/>
      <c r="D54" s="8" t="inlineStr">
        <is>
          <t>3. Service georiënteerd</t>
        </is>
      </c>
      <c r="E54" s="58" t="n"/>
      <c r="F54" s="8" t="inlineStr">
        <is>
          <t>3. Nederlandse geschiedenis</t>
        </is>
      </c>
      <c r="G54" s="58" t="n"/>
      <c r="H54" s="215" t="n"/>
      <c r="I54" s="215" t="n"/>
      <c r="J54" s="215" t="n"/>
    </row>
    <row r="55">
      <c r="B55" s="72" t="inlineStr">
        <is>
          <t>4. Werken met details.</t>
        </is>
      </c>
      <c r="C55" s="58" t="n"/>
      <c r="D55" s="8" t="inlineStr">
        <is>
          <t>4. Goed georganiseerd</t>
        </is>
      </c>
      <c r="E55" s="58" t="n"/>
      <c r="F55" s="8" t="inlineStr">
        <is>
          <t>4. Calculeren</t>
        </is>
      </c>
      <c r="G55" s="58" t="n"/>
      <c r="H55" s="215" t="n"/>
      <c r="I55" s="215" t="n"/>
      <c r="J55" s="215" t="n"/>
    </row>
    <row r="56">
      <c r="B56" s="72" t="inlineStr">
        <is>
          <t>5. Het uitvoeren van taken die vaak kunnen veranderen.</t>
        </is>
      </c>
      <c r="C56" s="58" t="n"/>
      <c r="D56" s="8" t="inlineStr">
        <is>
          <t>5. Probleemoplosser</t>
        </is>
      </c>
      <c r="E56" s="58" t="n"/>
      <c r="F56" s="57" t="inlineStr">
        <is>
          <t>5. Vreemde talen</t>
        </is>
      </c>
      <c r="G56" s="58" t="n"/>
      <c r="H56" s="215" t="n"/>
      <c r="I56" s="215" t="n"/>
      <c r="J56" s="215" t="n"/>
    </row>
    <row r="57">
      <c r="B57" s="72" t="inlineStr">
        <is>
          <t xml:space="preserve">6. Het analyseren en interpreteren van informatie voor anderen. </t>
        </is>
      </c>
      <c r="C57" s="58" t="n"/>
      <c r="D57" s="2" t="n"/>
      <c r="E57" s="58" t="n"/>
      <c r="F57" s="2" t="n"/>
      <c r="G57" s="58" t="n"/>
      <c r="H57" s="215" t="n"/>
      <c r="I57" s="215" t="n"/>
      <c r="J57" s="215" t="n"/>
    </row>
    <row r="58">
      <c r="B58" s="72" t="inlineStr">
        <is>
          <t xml:space="preserve">7. Reizen en nieuwe dingen ontdekken. </t>
        </is>
      </c>
      <c r="C58" s="58" t="n"/>
      <c r="D58" s="2" t="n"/>
      <c r="E58" s="58" t="n"/>
      <c r="F58" s="2" t="n"/>
      <c r="G58" s="58" t="n"/>
      <c r="H58" s="216" t="n"/>
      <c r="I58" s="216" t="n"/>
      <c r="J58" s="216" t="n"/>
    </row>
    <row r="59" customFormat="1" s="36">
      <c r="A59" s="101" t="n"/>
      <c r="B59" s="90" t="n"/>
      <c r="C59" s="12">
        <f>C52+C53+C54+C55+C56+C57+C58</f>
        <v/>
      </c>
      <c r="D59" s="92" t="n"/>
      <c r="E59" s="12">
        <f>E52+E53+E54+E55+E56+E57+E58</f>
        <v/>
      </c>
      <c r="F59" s="92" t="n"/>
      <c r="G59" s="12">
        <f>G52+G53+G54+G55+G56+G57+G58</f>
        <v/>
      </c>
      <c r="H59" s="230" t="n"/>
      <c r="J59" s="224" t="n"/>
    </row>
    <row r="60">
      <c r="A60" s="190" t="n">
        <v>8</v>
      </c>
      <c r="B60" s="72" t="inlineStr">
        <is>
          <t>1. Werken onder druk.</t>
        </is>
      </c>
      <c r="C60" s="58" t="n"/>
      <c r="D60" s="8" t="inlineStr">
        <is>
          <t>1. Emphatisch en zorgzaam</t>
        </is>
      </c>
      <c r="E60" s="58" t="n"/>
      <c r="F60" s="8" t="inlineStr">
        <is>
          <t>1. Biologische wetenschappen</t>
        </is>
      </c>
      <c r="G60" s="58" t="n"/>
      <c r="H60" s="183">
        <f>C67+E67+G67</f>
        <v/>
      </c>
      <c r="I60" s="186" t="inlineStr">
        <is>
          <t>Gezondheidswetenschappen</t>
        </is>
      </c>
      <c r="J60" s="181" t="inlineStr">
        <is>
          <t>Planning, beheer en levering van therapeutische diensten, diagnostisch diensten, medische informatica, ondersteunende diensten en biotechnologie onderzoek en ontwikkeling.</t>
        </is>
      </c>
    </row>
    <row r="61">
      <c r="B61" s="72" t="inlineStr">
        <is>
          <t>2. Het helpen van zieke mensen en/of dieren.</t>
        </is>
      </c>
      <c r="C61" s="58" t="n"/>
      <c r="D61" s="8" t="inlineStr">
        <is>
          <t>2. Het verstrekken van duidelijke instructies</t>
        </is>
      </c>
      <c r="E61" s="58" t="n"/>
      <c r="F61" s="8" t="inlineStr">
        <is>
          <t>2. Chemie</t>
        </is>
      </c>
      <c r="G61" s="58" t="n"/>
      <c r="H61" s="215" t="n"/>
      <c r="I61" s="215" t="n"/>
      <c r="J61" s="215" t="n"/>
    </row>
    <row r="62">
      <c r="B62" s="72" t="inlineStr">
        <is>
          <t>3. Beslissingen nemen op basis van logica en informatie.</t>
        </is>
      </c>
      <c r="C62" s="58" t="n"/>
      <c r="D62" s="8" t="inlineStr">
        <is>
          <t>3. Zorgvuldig en voorzichtig</t>
        </is>
      </c>
      <c r="E62" s="58" t="n"/>
      <c r="F62" s="8" t="inlineStr">
        <is>
          <t>3. Biometrie</t>
        </is>
      </c>
      <c r="G62" s="58" t="n"/>
      <c r="H62" s="215" t="n"/>
      <c r="I62" s="215" t="n"/>
      <c r="J62" s="215" t="n"/>
    </row>
    <row r="63">
      <c r="B63" s="72" t="inlineStr">
        <is>
          <t>4. Deelnemen aan gezondheid- en wetenschaplessen.</t>
        </is>
      </c>
      <c r="C63" s="58" t="n"/>
      <c r="D63" s="8" t="inlineStr">
        <is>
          <t>4. Geduldig</t>
        </is>
      </c>
      <c r="E63" s="58" t="n"/>
      <c r="F63" s="8" t="inlineStr">
        <is>
          <t>4. Gezondheid op het werk</t>
        </is>
      </c>
      <c r="G63" s="58" t="n"/>
      <c r="H63" s="215" t="n"/>
      <c r="I63" s="215" t="n"/>
      <c r="J63" s="215" t="n"/>
    </row>
    <row r="64">
      <c r="B64" s="72" t="inlineStr">
        <is>
          <t>5. Snel reageren en rustig blijven in noodsituaties.</t>
        </is>
      </c>
      <c r="C64" s="58" t="n"/>
      <c r="D64" s="8" t="inlineStr">
        <is>
          <t>5. Goede luisteraar</t>
        </is>
      </c>
      <c r="E64" s="58" t="n"/>
      <c r="F64" s="9" t="inlineStr">
        <is>
          <t>5. Spelling en grammatica</t>
        </is>
      </c>
      <c r="G64" s="58" t="n"/>
      <c r="H64" s="215" t="n"/>
      <c r="I64" s="215" t="n"/>
      <c r="J64" s="215" t="n"/>
    </row>
    <row r="65">
      <c r="B65" s="72" t="inlineStr">
        <is>
          <t>6. Werken als lid van een team.</t>
        </is>
      </c>
      <c r="C65" s="58" t="n"/>
      <c r="D65" s="8" t="n"/>
      <c r="E65" s="58" t="n"/>
      <c r="F65" s="9" t="n"/>
      <c r="G65" s="58" t="n"/>
      <c r="H65" s="215" t="n"/>
      <c r="I65" s="215" t="n"/>
      <c r="J65" s="215" t="n"/>
    </row>
    <row r="66">
      <c r="B66" s="72" t="inlineStr">
        <is>
          <t>7. Het nauwkeurig volgen van richtlijnen en het voldoen aan strikte normen voor nauwkeurigheid.</t>
        </is>
      </c>
      <c r="C66" s="58" t="n"/>
      <c r="D66" s="8" t="n"/>
      <c r="E66" s="58" t="n"/>
      <c r="F66" s="2" t="n"/>
      <c r="G66" s="58" t="n"/>
      <c r="H66" s="216" t="n"/>
      <c r="I66" s="216" t="n"/>
      <c r="J66" s="216" t="n"/>
    </row>
    <row r="67" customFormat="1" s="36">
      <c r="A67" s="101" t="n"/>
      <c r="B67" s="90" t="n"/>
      <c r="C67" s="12">
        <f>C60+C61+C62+C63+C64+C65+C66</f>
        <v/>
      </c>
      <c r="D67" s="92" t="n"/>
      <c r="E67" s="12">
        <f>E60+E61+E62+E63+E64+E65+E66</f>
        <v/>
      </c>
      <c r="F67" s="92" t="n"/>
      <c r="G67" s="12">
        <f>G60+G61+G62+G63+G64+G65+G66</f>
        <v/>
      </c>
      <c r="H67" s="230" t="n"/>
      <c r="J67" s="224" t="n"/>
    </row>
    <row r="68">
      <c r="A68" s="190" t="n">
        <v>9</v>
      </c>
      <c r="B68" s="72" t="inlineStr">
        <is>
          <t>1. Onderzoek doen naar nieuwe plaatsen en activiteiten.</t>
        </is>
      </c>
      <c r="C68" s="58" t="n"/>
      <c r="D68" s="8" t="inlineStr">
        <is>
          <t>1. Tactvol</t>
        </is>
      </c>
      <c r="E68" s="58" t="n"/>
      <c r="F68" s="8" t="inlineStr">
        <is>
          <t>1. Nederlands</t>
        </is>
      </c>
      <c r="G68" s="58" t="n"/>
      <c r="H68" s="183">
        <f>C75+E75+G75</f>
        <v/>
      </c>
      <c r="I68" s="186" t="inlineStr">
        <is>
          <t>Hospitality en toerisme</t>
        </is>
      </c>
      <c r="J68" s="181" t="inlineStr">
        <is>
          <t>Hospitality en toerisme omvat het management, marketing en activiteiten van restaurants en andere eetgelegenheden, logies, attracties en recreatie-evenementen en reisgerelateerde diensten.</t>
        </is>
      </c>
    </row>
    <row r="69">
      <c r="B69" s="72" t="inlineStr">
        <is>
          <t>2. Werken met alle leeftijden en alle soorten mensen.</t>
        </is>
      </c>
      <c r="C69" s="58" t="n"/>
      <c r="D69" s="8" t="inlineStr">
        <is>
          <t>2. Zelfgemotiveerd</t>
        </is>
      </c>
      <c r="E69" s="58" t="n"/>
      <c r="F69" s="8" t="inlineStr">
        <is>
          <t>2. Vreemde talen</t>
        </is>
      </c>
      <c r="G69" s="58" t="n"/>
      <c r="H69" s="215" t="n"/>
      <c r="I69" s="215" t="n"/>
      <c r="J69" s="215" t="n"/>
    </row>
    <row r="70">
      <c r="B70" s="72" t="inlineStr">
        <is>
          <t>3. Het organiseren van activiteiten waarbij andere mensen zich amuseren.</t>
        </is>
      </c>
      <c r="C70" s="58" t="n"/>
      <c r="D70" s="8" t="inlineStr">
        <is>
          <t>3. Samenwerkend</t>
        </is>
      </c>
      <c r="E70" s="58" t="n"/>
      <c r="F70" s="8" t="inlineStr">
        <is>
          <t>3. Sociale wetenschappen</t>
        </is>
      </c>
      <c r="G70" s="58" t="n"/>
      <c r="H70" s="215" t="n"/>
      <c r="I70" s="215" t="n"/>
      <c r="J70" s="215" t="n"/>
    </row>
    <row r="71">
      <c r="B71" s="72" t="inlineStr">
        <is>
          <t>4. Het hanteren van een flexibel schema.</t>
        </is>
      </c>
      <c r="C71" s="58" t="n"/>
      <c r="D71" s="8" t="inlineStr">
        <is>
          <t>4. Ondernemend</t>
        </is>
      </c>
      <c r="E71" s="58" t="n"/>
      <c r="F71" s="8" t="inlineStr">
        <is>
          <t>4. Marketing</t>
        </is>
      </c>
      <c r="G71" s="58" t="n"/>
      <c r="H71" s="215" t="n"/>
      <c r="I71" s="215" t="n"/>
      <c r="J71" s="215" t="n"/>
    </row>
    <row r="72">
      <c r="B72" s="72" t="inlineStr">
        <is>
          <t xml:space="preserve">5. Mensen helpen om besluiten te nemen. </t>
        </is>
      </c>
      <c r="C72" s="58" t="n"/>
      <c r="D72" s="8" t="inlineStr">
        <is>
          <t>5. Tolerant</t>
        </is>
      </c>
      <c r="E72" s="58" t="n"/>
      <c r="F72" s="9" t="inlineStr">
        <is>
          <t>5. Voeding</t>
        </is>
      </c>
      <c r="G72" s="58" t="n"/>
      <c r="H72" s="215" t="n"/>
      <c r="I72" s="215" t="n"/>
      <c r="J72" s="215" t="n"/>
    </row>
    <row r="73">
      <c r="B73" s="72" t="inlineStr">
        <is>
          <t>6. Eenvoudig, tactvol en hoffelijk communiceren.</t>
        </is>
      </c>
      <c r="C73" s="58" t="n"/>
      <c r="D73" s="2" t="n"/>
      <c r="E73" s="58" t="n"/>
      <c r="F73" s="2" t="n"/>
      <c r="G73" s="58" t="n"/>
      <c r="H73" s="215" t="n"/>
      <c r="I73" s="215" t="n"/>
      <c r="J73" s="215" t="n"/>
    </row>
    <row r="74">
      <c r="B74" s="72" t="inlineStr">
        <is>
          <t>7. Informatie verzamelen over andere culturen.</t>
        </is>
      </c>
      <c r="C74" s="58" t="n"/>
      <c r="D74" s="2" t="n"/>
      <c r="E74" s="58" t="n"/>
      <c r="F74" s="2" t="n"/>
      <c r="G74" s="58" t="n"/>
      <c r="H74" s="216" t="n"/>
      <c r="I74" s="216" t="n"/>
      <c r="J74" s="216" t="n"/>
    </row>
    <row r="75" customFormat="1" s="36">
      <c r="A75" s="101" t="n"/>
      <c r="B75" s="90" t="n"/>
      <c r="C75" s="12">
        <f>C68+C69+C70+C71+C72+C73+C74</f>
        <v/>
      </c>
      <c r="D75" s="92" t="n"/>
      <c r="E75" s="12">
        <f>E68+E69+E70+E71+E72+E73+E74</f>
        <v/>
      </c>
      <c r="F75" s="92" t="n"/>
      <c r="G75" s="12">
        <f>G68+G69+G70+G71+G72+G73+G74</f>
        <v/>
      </c>
      <c r="H75" s="230" t="n"/>
      <c r="J75" s="224" t="n"/>
    </row>
    <row r="76">
      <c r="A76" s="190" t="n">
        <v>10</v>
      </c>
      <c r="B76" s="72" t="inlineStr">
        <is>
          <t>1. Zorgen voor mensen, hun behoeften en hun problemen.</t>
        </is>
      </c>
      <c r="C76" s="58" t="n"/>
      <c r="D76" s="8" t="inlineStr">
        <is>
          <t xml:space="preserve">1. Goede communicator </t>
        </is>
      </c>
      <c r="E76" s="58" t="n"/>
      <c r="F76" s="8" t="inlineStr">
        <is>
          <t>1. Taalvaardigheid</t>
        </is>
      </c>
      <c r="G76" s="58" t="n"/>
      <c r="H76" s="183">
        <f>C83+E83+G83</f>
        <v/>
      </c>
      <c r="I76" s="186" t="inlineStr">
        <is>
          <t>Humanitaire dienstverlening</t>
        </is>
      </c>
      <c r="J76" s="181" t="inlineStr">
        <is>
          <t>Individuen voorbereiden op een baan in loopbaantrajecten en betrekking hebben op gezinnen en menselijke behoeften.</t>
        </is>
      </c>
    </row>
    <row r="77">
      <c r="B77" s="72" t="inlineStr">
        <is>
          <t>2. Deelnemen aan gemeenschapsdiensten en/of vrijwilligerswerk.</t>
        </is>
      </c>
      <c r="C77" s="58" t="n"/>
      <c r="D77" s="8" t="inlineStr">
        <is>
          <t>2. Zorgzaam</t>
        </is>
      </c>
      <c r="E77" s="58" t="n"/>
      <c r="F77" s="8" t="inlineStr">
        <is>
          <t>2. Psychologie en sociologie</t>
        </is>
      </c>
      <c r="G77" s="58" t="n"/>
      <c r="H77" s="215" t="n"/>
      <c r="I77" s="215" t="n"/>
      <c r="J77" s="215" t="n"/>
    </row>
    <row r="78">
      <c r="B78" s="72" t="inlineStr">
        <is>
          <t>3. Luisteren naar de perspectieven van anderen.</t>
        </is>
      </c>
      <c r="C78" s="58" t="n"/>
      <c r="D78" s="8" t="inlineStr">
        <is>
          <t>3. Non-materialistisch</t>
        </is>
      </c>
      <c r="E78" s="58" t="n"/>
      <c r="F78" s="8" t="inlineStr">
        <is>
          <t>3. Familie- en consumentenwetenschap</t>
        </is>
      </c>
      <c r="G78" s="58" t="n"/>
      <c r="H78" s="215" t="n"/>
      <c r="I78" s="215" t="n"/>
      <c r="J78" s="215" t="n"/>
    </row>
    <row r="79">
      <c r="B79" s="72" t="inlineStr">
        <is>
          <t>4. Mensen helpen op hun best te zijn.</t>
        </is>
      </c>
      <c r="C79" s="58" t="n"/>
      <c r="D79" s="8" t="inlineStr">
        <is>
          <t>4. Gebruik van intuïtie en logica</t>
        </is>
      </c>
      <c r="E79" s="58" t="n"/>
      <c r="F79" s="8" t="inlineStr">
        <is>
          <t>4. Financiën</t>
        </is>
      </c>
      <c r="G79" s="58" t="n"/>
      <c r="H79" s="215" t="n"/>
      <c r="I79" s="215" t="n"/>
      <c r="J79" s="215" t="n"/>
    </row>
    <row r="80">
      <c r="B80" s="72" t="inlineStr">
        <is>
          <t>5. Werken met mensen van jong tot oud.</t>
        </is>
      </c>
      <c r="C80" s="58" t="n"/>
      <c r="D80" s="8" t="inlineStr">
        <is>
          <t>5. Niet-oordelend</t>
        </is>
      </c>
      <c r="E80" s="58" t="n"/>
      <c r="F80" s="9" t="inlineStr">
        <is>
          <t>5. Vreemde talen</t>
        </is>
      </c>
      <c r="G80" s="58" t="n"/>
      <c r="H80" s="215" t="n"/>
      <c r="I80" s="215" t="n"/>
      <c r="J80" s="215" t="n"/>
    </row>
    <row r="81">
      <c r="B81" s="72" t="inlineStr">
        <is>
          <t>6. Denken aan nieuwe manieren om dingen te doen.</t>
        </is>
      </c>
      <c r="C81" s="58" t="n"/>
      <c r="D81" s="8" t="n"/>
      <c r="E81" s="58" t="n"/>
      <c r="F81" s="8" t="n"/>
      <c r="G81" s="58" t="n"/>
      <c r="H81" s="215" t="n"/>
      <c r="I81" s="215" t="n"/>
      <c r="J81" s="215" t="n"/>
    </row>
    <row r="82">
      <c r="B82" s="72" t="inlineStr">
        <is>
          <t>7. Vrienden maken met verschillende soorten mensen.</t>
        </is>
      </c>
      <c r="C82" s="58" t="n"/>
      <c r="D82" s="2" t="n"/>
      <c r="E82" s="58" t="n"/>
      <c r="F82" s="9" t="n"/>
      <c r="G82" s="58" t="n"/>
      <c r="H82" s="216" t="n"/>
      <c r="I82" s="216" t="n"/>
      <c r="J82" s="216" t="n"/>
    </row>
    <row r="83" customFormat="1" s="36">
      <c r="A83" s="101" t="n"/>
      <c r="B83" s="90" t="n"/>
      <c r="C83" s="12">
        <f>C76+C77+C78+C79+C80+C81+C82</f>
        <v/>
      </c>
      <c r="D83" s="92" t="n"/>
      <c r="E83" s="12">
        <f>E76+E77+E78+E79+E80+E81+E82</f>
        <v/>
      </c>
      <c r="F83" s="92" t="n"/>
      <c r="G83" s="12">
        <f>G76+G77+G78+G79+G80+G81+G82</f>
        <v/>
      </c>
      <c r="H83" s="230" t="n"/>
      <c r="J83" s="224" t="n"/>
    </row>
    <row r="84">
      <c r="A84" s="190" t="n">
        <v>11</v>
      </c>
      <c r="B84" s="72" t="inlineStr">
        <is>
          <t>1. Werken met computers.</t>
        </is>
      </c>
      <c r="C84" s="58" t="n"/>
      <c r="D84" s="8" t="inlineStr">
        <is>
          <t>1. Logische en analytische denker</t>
        </is>
      </c>
      <c r="E84" s="58" t="n"/>
      <c r="F84" s="8" t="inlineStr">
        <is>
          <t>1. Wiskunde</t>
        </is>
      </c>
      <c r="G84" s="58" t="n"/>
      <c r="H84" s="183">
        <f>C91+E91+G91</f>
        <v/>
      </c>
      <c r="I84" s="124" t="inlineStr">
        <is>
          <t>ICT</t>
        </is>
      </c>
      <c r="J84" s="181" t="inlineStr">
        <is>
          <t>Verbanden leggen in een IT-beroepskader voor instapniveau, technische en professionele loopbanen gerelateerd aan het ontwerp, ontwikkeling, ondersteuning en beheer van hardware, software, multimedia- en systeemintegratiediensten.</t>
        </is>
      </c>
    </row>
    <row r="85">
      <c r="B85" s="72" t="inlineStr">
        <is>
          <t>2. Logisch redeneren om complexe problemen op te lossen.</t>
        </is>
      </c>
      <c r="C85" s="58" t="n"/>
      <c r="D85" s="8" t="inlineStr">
        <is>
          <t>2. Helicopter view</t>
        </is>
      </c>
      <c r="E85" s="58" t="n"/>
      <c r="F85" s="8" t="inlineStr">
        <is>
          <t>2. Wetenschap</t>
        </is>
      </c>
      <c r="G85" s="58" t="n"/>
      <c r="H85" s="215" t="n"/>
      <c r="I85" s="215" t="n"/>
      <c r="J85" s="215" t="n"/>
    </row>
    <row r="86">
      <c r="B86" s="72" t="inlineStr">
        <is>
          <t>3. Het gebruiken van machines, technieken en processen.</t>
        </is>
      </c>
      <c r="C86" s="58" t="n"/>
      <c r="D86" s="8" t="inlineStr">
        <is>
          <t>3. Persistent</t>
        </is>
      </c>
      <c r="E86" s="58" t="n"/>
      <c r="F86" s="8" t="inlineStr">
        <is>
          <t xml:space="preserve">3. Computertechnologie </t>
        </is>
      </c>
      <c r="G86" s="58" t="n"/>
      <c r="H86" s="215" t="n"/>
      <c r="I86" s="215" t="n"/>
      <c r="J86" s="215" t="n"/>
    </row>
    <row r="87">
      <c r="B87" s="72" t="inlineStr">
        <is>
          <t>4. Het lezen van technische handleidingen en diagrammen en het oplossen van technische problemen.</t>
        </is>
      </c>
      <c r="C87" s="58" t="n"/>
      <c r="D87" s="8" t="inlineStr">
        <is>
          <t>4. Goede concentratievaardigheden</t>
        </is>
      </c>
      <c r="E87" s="58" t="n"/>
      <c r="F87" s="8" t="inlineStr">
        <is>
          <t>4. Communicatie</t>
        </is>
      </c>
      <c r="G87" s="58" t="n"/>
      <c r="H87" s="215" t="n"/>
      <c r="I87" s="215" t="n"/>
      <c r="J87" s="215" t="n"/>
    </row>
    <row r="88">
      <c r="B88" s="72" t="inlineStr">
        <is>
          <t>5. Aanpassen aan verandering.</t>
        </is>
      </c>
      <c r="C88" s="58" t="n"/>
      <c r="D88" s="8" t="inlineStr">
        <is>
          <t xml:space="preserve">5. Nauwkeurig </t>
        </is>
      </c>
      <c r="E88" s="58" t="n"/>
      <c r="F88" s="57" t="inlineStr">
        <is>
          <t>5. Grafisch ontwerp</t>
        </is>
      </c>
      <c r="G88" s="58" t="n"/>
      <c r="H88" s="215" t="n"/>
      <c r="I88" s="215" t="n"/>
      <c r="J88" s="215" t="n"/>
    </row>
    <row r="89">
      <c r="B89" s="72" t="inlineStr">
        <is>
          <t xml:space="preserve">6. Het spelen van videogames en uitzoeken hoe deze werken. </t>
        </is>
      </c>
      <c r="C89" s="58" t="n"/>
      <c r="D89" s="8" t="n"/>
      <c r="E89" s="58" t="n"/>
      <c r="F89" s="57" t="n"/>
      <c r="G89" s="58" t="n"/>
      <c r="H89" s="215" t="n"/>
      <c r="I89" s="215" t="n"/>
      <c r="J89" s="215" t="n"/>
    </row>
    <row r="90">
      <c r="B90" s="72" t="inlineStr">
        <is>
          <t>7. Gedurende lange perioden concentreren zonder te zijn afgeleid.</t>
        </is>
      </c>
      <c r="C90" s="58" t="n"/>
      <c r="D90" s="2" t="n"/>
      <c r="E90" s="58" t="n"/>
      <c r="F90" s="2" t="n"/>
      <c r="G90" s="58" t="n"/>
      <c r="H90" s="216" t="n"/>
      <c r="I90" s="216" t="n"/>
      <c r="J90" s="216" t="n"/>
    </row>
    <row r="91" customFormat="1" s="36">
      <c r="A91" s="101" t="n"/>
      <c r="B91" s="90" t="n"/>
      <c r="C91" s="12">
        <f>C84+C85+C86+C87+C88+C89+C90</f>
        <v/>
      </c>
      <c r="D91" s="92" t="n"/>
      <c r="E91" s="12">
        <f>E84+E85+E86+E87+E88+E89+E90</f>
        <v/>
      </c>
      <c r="F91" s="92" t="n"/>
      <c r="G91" s="12">
        <f>G84+G85+G86+G87+G88+G89+G90</f>
        <v/>
      </c>
      <c r="H91" s="230" t="n"/>
      <c r="J91" s="224" t="n"/>
    </row>
    <row r="92">
      <c r="A92" s="190" t="n">
        <v>12</v>
      </c>
      <c r="B92" s="72" t="inlineStr">
        <is>
          <t>1. Werken onder druk of in de aanwezigheid van gevaar.</t>
        </is>
      </c>
      <c r="C92" s="58" t="n"/>
      <c r="D92" s="8" t="inlineStr">
        <is>
          <t>1. Avontuurlijk</t>
        </is>
      </c>
      <c r="E92" s="58" t="n"/>
      <c r="F92" s="8" t="inlineStr">
        <is>
          <t>1. Taalvaardigheid</t>
        </is>
      </c>
      <c r="G92" s="58" t="n"/>
      <c r="H92" s="183">
        <f>C99+E99+G99</f>
        <v/>
      </c>
      <c r="I92" s="186" t="inlineStr">
        <is>
          <t>Publieke veiligheid en zekerheid</t>
        </is>
      </c>
      <c r="J92" s="181" t="inlineStr">
        <is>
          <t>Planning, beheer en verstrekking van wettelijke, openbare veiligheid, beschermende diensten en binnenlandse veiligheid inclusief professionele en technische ondersteuningsdiensten.</t>
        </is>
      </c>
    </row>
    <row r="93">
      <c r="B93" s="72" t="inlineStr">
        <is>
          <t>2. Beslissingen maken op basis van observaties.</t>
        </is>
      </c>
      <c r="C93" s="58" t="n"/>
      <c r="D93" s="8" t="inlineStr">
        <is>
          <t>2. Betrouwbaar</t>
        </is>
      </c>
      <c r="E93" s="58" t="n"/>
      <c r="F93" s="8" t="inlineStr">
        <is>
          <t>2. Psychologie en sociologie</t>
        </is>
      </c>
      <c r="G93" s="58" t="n"/>
      <c r="H93" s="215" t="n"/>
      <c r="I93" s="215" t="n"/>
      <c r="J93" s="215" t="n"/>
    </row>
    <row r="94">
      <c r="B94" s="72" t="inlineStr">
        <is>
          <t>3. Communiceren met andere mensen.</t>
        </is>
      </c>
      <c r="C94" s="58" t="n"/>
      <c r="D94" s="8" t="inlineStr">
        <is>
          <t>3. Gemeenschapsgericht</t>
        </is>
      </c>
      <c r="E94" s="58" t="n"/>
      <c r="F94" s="8" t="inlineStr">
        <is>
          <t>3. Overheid en geschiedenis</t>
        </is>
      </c>
      <c r="G94" s="58" t="n"/>
      <c r="H94" s="215" t="n"/>
      <c r="I94" s="215" t="n"/>
      <c r="J94" s="215" t="n"/>
    </row>
    <row r="95">
      <c r="B95" s="72" t="inlineStr">
        <is>
          <t>4. Een positie van autoriteit hebben.</t>
        </is>
      </c>
      <c r="C95" s="58" t="n"/>
      <c r="D95" s="8" t="inlineStr">
        <is>
          <t>4. Doorslaggevend</t>
        </is>
      </c>
      <c r="E95" s="58" t="n"/>
      <c r="F95" s="8" t="inlineStr">
        <is>
          <t>4. Rechtshandhaving</t>
        </is>
      </c>
      <c r="G95" s="58" t="n"/>
      <c r="H95" s="215" t="n"/>
      <c r="I95" s="215" t="n"/>
      <c r="J95" s="215" t="n"/>
    </row>
    <row r="96">
      <c r="B96" s="72" t="inlineStr">
        <is>
          <t>5. Het respecteren van regels en voorschriften.</t>
        </is>
      </c>
      <c r="C96" s="58" t="n"/>
      <c r="D96" s="8" t="inlineStr">
        <is>
          <t>5. Optimistisch</t>
        </is>
      </c>
      <c r="E96" s="58" t="n"/>
      <c r="F96" s="8" t="inlineStr">
        <is>
          <t>5. EHBO</t>
        </is>
      </c>
      <c r="G96" s="58" t="n"/>
      <c r="H96" s="215" t="n"/>
      <c r="I96" s="215" t="n"/>
      <c r="J96" s="215" t="n"/>
    </row>
    <row r="97">
      <c r="B97" s="72" t="inlineStr">
        <is>
          <t>6. Debatteren en het winnen van argumenten.</t>
        </is>
      </c>
      <c r="C97" s="58" t="n"/>
      <c r="D97" s="2" t="n"/>
      <c r="E97" s="58" t="n"/>
      <c r="F97" s="9" t="n"/>
      <c r="G97" s="58" t="n"/>
      <c r="H97" s="215" t="n"/>
      <c r="I97" s="215" t="n"/>
      <c r="J97" s="215" t="n"/>
    </row>
    <row r="98">
      <c r="B98" s="72" t="inlineStr">
        <is>
          <t>7. Het observeren en analyseren van het gedrag van mensen.</t>
        </is>
      </c>
      <c r="C98" s="58" t="n"/>
      <c r="D98" s="2" t="n"/>
      <c r="E98" s="58" t="n"/>
      <c r="F98" s="2" t="n"/>
      <c r="G98" s="58" t="n"/>
      <c r="H98" s="216" t="n"/>
      <c r="I98" s="216" t="n"/>
      <c r="J98" s="216" t="n"/>
    </row>
    <row r="99" customFormat="1" s="36">
      <c r="A99" s="101" t="n"/>
      <c r="B99" s="90" t="n"/>
      <c r="C99" s="12">
        <f>C92+C93+C94+C95+C96+C97+C98</f>
        <v/>
      </c>
      <c r="D99" s="92" t="n"/>
      <c r="E99" s="12">
        <f>E92+E93+E94+E95+E96+E97+E98</f>
        <v/>
      </c>
      <c r="F99" s="92" t="n"/>
      <c r="G99" s="12">
        <f>G92+G93+G94+G95+G96+G97+G98</f>
        <v/>
      </c>
      <c r="H99" s="230" t="n"/>
      <c r="J99" s="224" t="n"/>
    </row>
    <row r="100">
      <c r="A100" s="190" t="n">
        <v>13</v>
      </c>
      <c r="B100" s="72" t="inlineStr">
        <is>
          <t xml:space="preserve">1. Werken met de handen en op de manier leren. </t>
        </is>
      </c>
      <c r="C100" s="58" t="n"/>
      <c r="D100" s="8" t="inlineStr">
        <is>
          <t>1. Praktisch</t>
        </is>
      </c>
      <c r="E100" s="58" t="n"/>
      <c r="F100" s="8" t="inlineStr">
        <is>
          <t>1. Wiskunde en geometrie</t>
        </is>
      </c>
      <c r="G100" s="58" t="n"/>
      <c r="H100" s="183">
        <f>C107+E107+G107</f>
        <v/>
      </c>
      <c r="I100" s="124" t="inlineStr">
        <is>
          <t>Fabricage</t>
        </is>
      </c>
      <c r="J100" s="181"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72" t="inlineStr">
        <is>
          <t>2. Concepten samenvoegen.</t>
        </is>
      </c>
      <c r="C101" s="58" t="n"/>
      <c r="D101" s="8" t="inlineStr">
        <is>
          <t>2. Observerend</t>
        </is>
      </c>
      <c r="E101" s="58" t="n"/>
      <c r="F101" s="8" t="inlineStr">
        <is>
          <t>2. Chemie</t>
        </is>
      </c>
      <c r="G101" s="58" t="n"/>
      <c r="H101" s="215" t="n"/>
      <c r="I101" s="215" t="n"/>
      <c r="J101" s="215" t="n"/>
    </row>
    <row r="102">
      <c r="B102" s="72" t="inlineStr">
        <is>
          <t>3. Het uitvoeren van routinematig, georganiseerd en nauwkeurig werk.</t>
        </is>
      </c>
      <c r="C102" s="58" t="n"/>
      <c r="D102" s="8" t="inlineStr">
        <is>
          <t>3. Fysiek actief</t>
        </is>
      </c>
      <c r="E102" s="58" t="n"/>
      <c r="F102" s="8" t="inlineStr">
        <is>
          <t>3. Handel en industrie</t>
        </is>
      </c>
      <c r="G102" s="58" t="n"/>
      <c r="H102" s="215" t="n"/>
      <c r="I102" s="215" t="n"/>
      <c r="J102" s="215" t="n"/>
    </row>
    <row r="103">
      <c r="B103" s="72" t="inlineStr">
        <is>
          <t>4. Het uitvoeren van activiteiten die tastbare producten opleveren.</t>
        </is>
      </c>
      <c r="C103" s="58" t="n"/>
      <c r="D103" s="8" t="inlineStr">
        <is>
          <t>4. Stapsgewijze denker</t>
        </is>
      </c>
      <c r="E103" s="58" t="n"/>
      <c r="F103" s="8" t="inlineStr">
        <is>
          <t>4. Natuurkunde</t>
        </is>
      </c>
      <c r="G103" s="58" t="n"/>
      <c r="H103" s="215" t="n"/>
      <c r="I103" s="215" t="n"/>
      <c r="J103" s="215" t="n"/>
    </row>
    <row r="104">
      <c r="B104" s="72" t="inlineStr">
        <is>
          <t>5. Wiskunde toepassen om oplossingen uit te werken.</t>
        </is>
      </c>
      <c r="C104" s="58" t="n"/>
      <c r="D104" s="8" t="inlineStr">
        <is>
          <t>5. Gecoördineerd</t>
        </is>
      </c>
      <c r="E104" s="58" t="n"/>
      <c r="F104" s="9" t="inlineStr">
        <is>
          <t>5. Taalvaardigheid</t>
        </is>
      </c>
      <c r="G104" s="58" t="n"/>
      <c r="H104" s="215" t="n"/>
      <c r="I104" s="215" t="n"/>
      <c r="J104" s="215" t="n"/>
    </row>
    <row r="105">
      <c r="B105" s="72" t="inlineStr">
        <is>
          <t xml:space="preserve">6. Het gebruiken van hand- en elektrisch gereedschap, werkuitrusting en machines. </t>
        </is>
      </c>
      <c r="C105" s="58" t="n"/>
      <c r="D105" s="2" t="n"/>
      <c r="E105" s="58" t="n"/>
      <c r="F105" s="9" t="n"/>
      <c r="G105" s="58" t="n"/>
      <c r="H105" s="215" t="n"/>
      <c r="I105" s="215" t="n"/>
      <c r="J105" s="215" t="n"/>
    </row>
    <row r="106">
      <c r="B106" s="72" t="inlineStr">
        <is>
          <t>7. Het visualiseren van objecten in drie dimensies vanuit een vlakke tekening.</t>
        </is>
      </c>
      <c r="C106" s="58" t="n"/>
      <c r="D106" s="2" t="n"/>
      <c r="E106" s="58" t="n"/>
      <c r="F106" s="2" t="n"/>
      <c r="G106" s="58" t="n"/>
      <c r="H106" s="216" t="n"/>
      <c r="I106" s="216" t="n"/>
      <c r="J106" s="216" t="n"/>
    </row>
    <row r="107" customFormat="1" s="36">
      <c r="A107" s="101" t="n"/>
      <c r="B107" s="90" t="n"/>
      <c r="C107" s="12">
        <f>C100+C101+C102+C103+C104+C105+C106</f>
        <v/>
      </c>
      <c r="D107" s="92" t="n"/>
      <c r="E107" s="12">
        <f>E100+E101+E102+E103+E104+E105+E106</f>
        <v/>
      </c>
      <c r="F107" s="92" t="n"/>
      <c r="G107" s="12">
        <f>G100+G101+G102+G103+G104+G105+G106</f>
        <v/>
      </c>
      <c r="H107" s="230" t="n"/>
      <c r="J107" s="224" t="n"/>
    </row>
    <row r="108">
      <c r="A108" s="190" t="n">
        <v>14</v>
      </c>
      <c r="B108" s="72" t="inlineStr">
        <is>
          <t>1. Winkelen en naar het winkelcentrum gaan.</t>
        </is>
      </c>
      <c r="C108" s="58" t="n"/>
      <c r="D108" s="8" t="inlineStr">
        <is>
          <t>1. Enthousiast</t>
        </is>
      </c>
      <c r="E108" s="58" t="n"/>
      <c r="F108" s="8" t="inlineStr">
        <is>
          <t>1. Taalvaardigheid</t>
        </is>
      </c>
      <c r="G108" s="58" t="n"/>
      <c r="H108" s="183">
        <f>C115+E115+G115</f>
        <v/>
      </c>
      <c r="I108" s="186" t="inlineStr">
        <is>
          <t>Marketing, sales en service</t>
        </is>
      </c>
      <c r="J108" s="181" t="inlineStr">
        <is>
          <t>Planning, beheer en uitvoering van marketingactiviteiten ten behoeve van het bereiken van organisatorische doelstellingen.</t>
        </is>
      </c>
    </row>
    <row r="109">
      <c r="B109" s="72" t="inlineStr">
        <is>
          <t xml:space="preserve">2. De baas zijn. </t>
        </is>
      </c>
      <c r="C109" s="58" t="n"/>
      <c r="D109" s="8" t="inlineStr">
        <is>
          <t>2. Concurrerend</t>
        </is>
      </c>
      <c r="E109" s="58" t="n"/>
      <c r="F109" s="8" t="inlineStr">
        <is>
          <t>2. Marketing</t>
        </is>
      </c>
      <c r="G109" s="58" t="n"/>
      <c r="H109" s="215" t="n"/>
      <c r="I109" s="215" t="n"/>
      <c r="J109" s="215" t="n"/>
    </row>
    <row r="110">
      <c r="B110" s="72" t="inlineStr">
        <is>
          <t>3. Het maken van reclameschermen en het promoten van ideeën.</t>
        </is>
      </c>
      <c r="C110" s="58" t="n"/>
      <c r="D110" s="8" t="inlineStr">
        <is>
          <t>3. Creatief</t>
        </is>
      </c>
      <c r="E110" s="58" t="n"/>
      <c r="F110" s="8" t="inlineStr">
        <is>
          <t>3. Bedrijfseconomie</t>
        </is>
      </c>
      <c r="G110" s="58" t="n"/>
      <c r="H110" s="215" t="n"/>
      <c r="I110" s="215" t="n"/>
      <c r="J110" s="215" t="n"/>
    </row>
    <row r="111">
      <c r="B111" s="72" t="inlineStr">
        <is>
          <t>4. Het geven van presentaties en het toespreken van publiek.</t>
        </is>
      </c>
      <c r="C111" s="58" t="n"/>
      <c r="D111" s="8" t="inlineStr">
        <is>
          <t>4. Zelfgemotiveerd</t>
        </is>
      </c>
      <c r="E111" s="58" t="n"/>
      <c r="F111" s="8" t="inlineStr">
        <is>
          <t xml:space="preserve">4. Order to cash </t>
        </is>
      </c>
      <c r="G111" s="58" t="n"/>
      <c r="H111" s="215" t="n"/>
      <c r="I111" s="215" t="n"/>
      <c r="J111" s="215" t="n"/>
    </row>
    <row r="112">
      <c r="B112" s="72" t="inlineStr">
        <is>
          <t xml:space="preserve">5. Mensen overtuigen om producten te kopen of om deel te nemen aan promotie activiteiten. </t>
        </is>
      </c>
      <c r="C112" s="58" t="n"/>
      <c r="D112" s="8" t="inlineStr">
        <is>
          <t>5. Overtuigend</t>
        </is>
      </c>
      <c r="E112" s="58" t="n"/>
      <c r="F112" s="9" t="inlineStr">
        <is>
          <t>5. Communicatietechnologie</t>
        </is>
      </c>
      <c r="G112" s="58" t="n"/>
      <c r="H112" s="215" t="n"/>
      <c r="I112" s="215" t="n"/>
      <c r="J112" s="215" t="n"/>
    </row>
    <row r="113">
      <c r="B113" s="72" t="inlineStr">
        <is>
          <t>6. Het communiceren van ideeën naar andere mensen.</t>
        </is>
      </c>
      <c r="C113" s="58" t="n"/>
      <c r="D113" s="2" t="n"/>
      <c r="E113" s="58" t="n"/>
      <c r="F113" s="9" t="n"/>
      <c r="G113" s="58" t="n"/>
      <c r="H113" s="215" t="n"/>
      <c r="I113" s="215" t="n"/>
      <c r="J113" s="215" t="n"/>
    </row>
    <row r="114">
      <c r="B114" s="72" t="inlineStr">
        <is>
          <t xml:space="preserve">7. Het gebruik maken van de mogelijkheden om extra geld te verdienen. </t>
        </is>
      </c>
      <c r="C114" s="58" t="n"/>
      <c r="D114" s="2" t="n"/>
      <c r="E114" s="58" t="n"/>
      <c r="F114" s="2" t="n"/>
      <c r="G114" s="58" t="n"/>
      <c r="H114" s="216" t="n"/>
      <c r="I114" s="216" t="n"/>
      <c r="J114" s="216" t="n"/>
    </row>
    <row r="115" customFormat="1" s="36">
      <c r="A115" s="101" t="n"/>
      <c r="B115" s="90" t="n"/>
      <c r="C115" s="12">
        <f>C108+C109+C110+C111+C112+C113+C114</f>
        <v/>
      </c>
      <c r="D115" s="92" t="n"/>
      <c r="E115" s="12">
        <f>E108+E109+E110+E111+E112+E113+E114</f>
        <v/>
      </c>
      <c r="F115" s="92" t="n"/>
      <c r="G115" s="12">
        <f>G108+G109+G110+G111+G112+G113+G114</f>
        <v/>
      </c>
      <c r="H115" s="230" t="n"/>
      <c r="J115" s="224" t="n"/>
    </row>
    <row r="116">
      <c r="A116" s="190" t="n">
        <v>15</v>
      </c>
      <c r="B116" s="72" t="inlineStr">
        <is>
          <t>1. Formules interpreteren.</t>
        </is>
      </c>
      <c r="C116" s="58" t="n"/>
      <c r="D116" s="8" t="inlineStr">
        <is>
          <t>1. Detailgericht</t>
        </is>
      </c>
      <c r="E116" s="58" t="n"/>
      <c r="F116" s="8" t="inlineStr">
        <is>
          <t>1. Wiskunde</t>
        </is>
      </c>
      <c r="G116" s="58" t="n"/>
      <c r="H116" s="183">
        <f>C123+E123+G123</f>
        <v/>
      </c>
      <c r="I116" s="186" t="inlineStr">
        <is>
          <t>Wetenschap, technologie, engineering en mathematica</t>
        </is>
      </c>
      <c r="J116" s="181" t="inlineStr">
        <is>
          <t>Planning, beheer en bijdrage van wetenschappelijk onderzoek en professionele en technische diensten (bijv: wetenschap en techniek) inclusief laboratorium- en testdiensten en onderzoeks- en ontwikkelingsdiensten.</t>
        </is>
      </c>
    </row>
    <row r="117">
      <c r="B117" s="72" t="inlineStr">
        <is>
          <t>2. Zoeken naar antwoorden op vragen.</t>
        </is>
      </c>
      <c r="C117" s="58" t="n"/>
      <c r="D117" s="8" t="inlineStr">
        <is>
          <t>2. Nieuwsgierig</t>
        </is>
      </c>
      <c r="E117" s="58" t="n"/>
      <c r="F117" s="8" t="inlineStr">
        <is>
          <t>2. Wetenschap</t>
        </is>
      </c>
      <c r="G117" s="58" t="n"/>
      <c r="H117" s="215" t="n"/>
      <c r="I117" s="215" t="n"/>
      <c r="J117" s="215" t="n"/>
    </row>
    <row r="118">
      <c r="B118" s="72" t="inlineStr">
        <is>
          <t>3. Werken in een laboratorium.</t>
        </is>
      </c>
      <c r="C118" s="58" t="n"/>
      <c r="D118" s="8" t="inlineStr">
        <is>
          <t>3. Doelgericht</t>
        </is>
      </c>
      <c r="E118" s="58" t="n"/>
      <c r="F118" s="8" t="inlineStr">
        <is>
          <t>3. Computer Aided Drawing</t>
        </is>
      </c>
      <c r="G118" s="58" t="n"/>
      <c r="H118" s="215" t="n"/>
      <c r="I118" s="215" t="n"/>
      <c r="J118" s="215" t="n"/>
    </row>
    <row r="119">
      <c r="B119" s="72" t="inlineStr">
        <is>
          <t>4. Uitzoeken hoe zaken werken en het onderzoeken van nieuwe zaken.</t>
        </is>
      </c>
      <c r="C119" s="58" t="n"/>
      <c r="D119" s="8" t="inlineStr">
        <is>
          <t>4. Methodisch</t>
        </is>
      </c>
      <c r="E119" s="58" t="n"/>
      <c r="F119" s="8" t="inlineStr">
        <is>
          <t>4. Elektronica en computernetwerken</t>
        </is>
      </c>
      <c r="G119" s="58" t="n"/>
      <c r="H119" s="215" t="n"/>
      <c r="I119" s="215" t="n"/>
      <c r="J119" s="215" t="n"/>
    </row>
    <row r="120">
      <c r="B120" s="72" t="inlineStr">
        <is>
          <t>5. Het ontdekken van nieuwe technologie.</t>
        </is>
      </c>
      <c r="C120" s="58" t="n"/>
      <c r="D120" s="8" t="inlineStr">
        <is>
          <t>5. Statisch</t>
        </is>
      </c>
      <c r="E120" s="58" t="n"/>
      <c r="F120" s="8" t="inlineStr">
        <is>
          <t xml:space="preserve">5. Technologie </t>
        </is>
      </c>
      <c r="G120" s="58" t="n"/>
      <c r="H120" s="215" t="n"/>
      <c r="I120" s="215" t="n"/>
      <c r="J120" s="215" t="n"/>
    </row>
    <row r="121">
      <c r="B121" s="72" t="inlineStr">
        <is>
          <t>6. Experimenteren om de beste manier te vinden om dingen te doen.</t>
        </is>
      </c>
      <c r="C121" s="58" t="n"/>
      <c r="D121" s="2" t="n"/>
      <c r="E121" s="58" t="n"/>
      <c r="F121" s="8" t="n"/>
      <c r="G121" s="58" t="n"/>
      <c r="H121" s="215" t="n"/>
      <c r="I121" s="215" t="n"/>
      <c r="J121" s="215" t="n"/>
    </row>
    <row r="122">
      <c r="B122" s="72" t="inlineStr">
        <is>
          <t xml:space="preserve">7. Het besteden van aandacht aan details en nauwkeurig werken. </t>
        </is>
      </c>
      <c r="C122" s="58" t="n"/>
      <c r="D122" s="2" t="n"/>
      <c r="E122" s="58" t="n"/>
      <c r="F122" s="8" t="n"/>
      <c r="G122" s="58" t="n"/>
      <c r="H122" s="216" t="n"/>
      <c r="I122" s="216" t="n"/>
      <c r="J122" s="216" t="n"/>
    </row>
    <row r="123" customFormat="1" s="36">
      <c r="A123" s="101" t="n"/>
      <c r="B123" s="90" t="n"/>
      <c r="C123" s="12">
        <f>C116+C117+C118+C119+C120+C121+C122</f>
        <v/>
      </c>
      <c r="D123" s="92" t="n"/>
      <c r="E123" s="12">
        <f>E116+E117+E118+E119+E120+E121+E122</f>
        <v/>
      </c>
      <c r="F123" s="93" t="n"/>
      <c r="G123" s="12">
        <f>G116+G117+G118+G119+G120+G121+G122</f>
        <v/>
      </c>
      <c r="H123" s="230" t="n"/>
      <c r="J123" s="224" t="n"/>
    </row>
    <row r="124">
      <c r="A124" s="190" t="n">
        <v>16</v>
      </c>
      <c r="B124" s="72" t="inlineStr">
        <is>
          <t>1. Reizen.</t>
        </is>
      </c>
      <c r="C124" s="58" t="n"/>
      <c r="D124" s="8" t="inlineStr">
        <is>
          <t>1. Ondernemend</t>
        </is>
      </c>
      <c r="E124" s="58" t="n"/>
      <c r="F124" s="8" t="inlineStr">
        <is>
          <t>1. Logistiek en distributie</t>
        </is>
      </c>
      <c r="G124" s="58" t="n"/>
      <c r="H124" s="183">
        <f>C131+E131+G131</f>
        <v/>
      </c>
      <c r="I124" s="186" t="inlineStr">
        <is>
          <t>Transport, distributie en logistiek</t>
        </is>
      </c>
      <c r="J124" s="181"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72" t="inlineStr">
        <is>
          <t>2. Goed zien en het bezitten van snelle reflexen.</t>
        </is>
      </c>
      <c r="C125" s="58" t="n"/>
      <c r="D125" s="8" t="inlineStr">
        <is>
          <t>2. Mechanisch</t>
        </is>
      </c>
      <c r="E125" s="58" t="n"/>
      <c r="F125" s="8" t="inlineStr">
        <is>
          <t>2. Handel en industrie</t>
        </is>
      </c>
      <c r="G125" s="58" t="n"/>
      <c r="H125" s="215" t="n"/>
      <c r="I125" s="215" t="n"/>
      <c r="J125" s="215" t="n"/>
    </row>
    <row r="126">
      <c r="B126" s="72" t="inlineStr">
        <is>
          <t>3. Het oplossen van mechanische problemen.</t>
        </is>
      </c>
      <c r="C126" s="58" t="n"/>
      <c r="D126" s="8" t="inlineStr">
        <is>
          <t>3. Gecoördineerd</t>
        </is>
      </c>
      <c r="E126" s="58" t="n"/>
      <c r="F126" s="8" t="inlineStr">
        <is>
          <t>3. Exacte wetenschappen</t>
        </is>
      </c>
      <c r="G126" s="58" t="n"/>
      <c r="H126" s="215" t="n"/>
      <c r="I126" s="215" t="n"/>
      <c r="J126" s="215" t="n"/>
    </row>
    <row r="127">
      <c r="B127" s="72" t="inlineStr">
        <is>
          <t>4. Het ontwerpen van efficiënte processen.</t>
        </is>
      </c>
      <c r="C127" s="58" t="n"/>
      <c r="D127" s="8" t="inlineStr">
        <is>
          <t>4. Observerend</t>
        </is>
      </c>
      <c r="E127" s="58" t="n"/>
      <c r="F127" s="8" t="inlineStr">
        <is>
          <t>4. Economie</t>
        </is>
      </c>
      <c r="G127" s="58" t="n"/>
      <c r="H127" s="215" t="n"/>
      <c r="I127" s="215" t="n"/>
      <c r="J127" s="215" t="n"/>
    </row>
    <row r="128">
      <c r="B128" s="72" t="inlineStr">
        <is>
          <t>5. Het anticiperen op behoeften en het voorbereiden van ontmoetingen.</t>
        </is>
      </c>
      <c r="C128" s="58" t="n"/>
      <c r="D128" s="8" t="inlineStr">
        <is>
          <t>5. Planner</t>
        </is>
      </c>
      <c r="E128" s="58" t="n"/>
      <c r="F128" s="9" t="inlineStr">
        <is>
          <t>5. Vreemde talen</t>
        </is>
      </c>
      <c r="G128" s="58" t="n"/>
      <c r="H128" s="215" t="n"/>
      <c r="I128" s="215" t="n"/>
      <c r="J128" s="215" t="n"/>
    </row>
    <row r="129">
      <c r="B129" s="72" t="inlineStr">
        <is>
          <t xml:space="preserve">6. Auto rijden. </t>
        </is>
      </c>
      <c r="C129" s="58" t="n"/>
      <c r="D129" s="2" t="n"/>
      <c r="E129" s="58" t="n"/>
      <c r="F129" s="9" t="n"/>
      <c r="G129" s="58" t="n"/>
      <c r="H129" s="215" t="n"/>
      <c r="I129" s="215" t="n"/>
      <c r="J129" s="215" t="n"/>
    </row>
    <row r="130">
      <c r="B130" s="72" t="inlineStr">
        <is>
          <t>7. Het verplaatsen van dingen van de ene lokatie naar de andere lokatie.</t>
        </is>
      </c>
      <c r="C130" s="58" t="n"/>
      <c r="D130" s="2" t="n"/>
      <c r="E130" s="58" t="n"/>
      <c r="F130" s="2" t="n"/>
      <c r="G130" s="58" t="n"/>
      <c r="H130" s="216" t="n"/>
      <c r="I130" s="216" t="n"/>
      <c r="J130" s="216" t="n"/>
    </row>
    <row r="131" customFormat="1" s="36">
      <c r="A131" s="89" t="n"/>
      <c r="B131" s="91" t="n"/>
      <c r="C131" s="12">
        <f>C124+C125+C126+C127+C128+C129+C130</f>
        <v/>
      </c>
      <c r="D131" s="92" t="n"/>
      <c r="E131" s="12">
        <f>E124+E125+E126+E127+E128+E129+E130</f>
        <v/>
      </c>
      <c r="F131" s="92" t="n"/>
      <c r="G131" s="12">
        <f>G124+G125+G126+G127+G128+G129+G130</f>
        <v/>
      </c>
      <c r="H131" s="232" t="n"/>
      <c r="I131" s="226" t="n"/>
      <c r="J131" s="227"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ColWidth="74.109375" defaultRowHeight="13.8"/>
  <cols>
    <col width="8.33203125" bestFit="1" customWidth="1" style="79" min="1" max="1"/>
    <col width="109.5546875" bestFit="1" customWidth="1" style="79" min="2" max="2"/>
    <col width="6.6640625" bestFit="1" customWidth="1" style="10" min="3" max="3"/>
    <col width="12.44140625" bestFit="1" customWidth="1" style="10" min="4" max="4"/>
    <col width="24" bestFit="1" customWidth="1" style="10" min="5" max="5"/>
    <col width="74.109375" customWidth="1" style="79" min="6" max="6"/>
    <col width="74.109375" customWidth="1" style="79" min="7" max="16384"/>
  </cols>
  <sheetData>
    <row r="1">
      <c r="A1" s="81" t="inlineStr">
        <is>
          <t>Cultuur</t>
        </is>
      </c>
      <c r="B1" s="83" t="inlineStr">
        <is>
          <t>Aspecten: Beoordeling van stelling (in zijn algemeenheid) a.h.v. score: 1 t/m 5</t>
        </is>
      </c>
      <c r="C1" s="81" t="inlineStr">
        <is>
          <t>Score</t>
        </is>
      </c>
      <c r="D1" s="81" t="inlineStr">
        <is>
          <t>Totaal score</t>
        </is>
      </c>
      <c r="E1" s="81" t="inlineStr">
        <is>
          <t>Cultuur</t>
        </is>
      </c>
      <c r="F1" s="81" t="inlineStr">
        <is>
          <t>Omschrijving</t>
        </is>
      </c>
    </row>
    <row r="2" ht="13.2" customHeight="1">
      <c r="A2" s="190" t="n">
        <v>1</v>
      </c>
      <c r="B2" s="62" t="inlineStr">
        <is>
          <t>1. Er bestaan gemeenschappelijke waarden en doelstellingen.</t>
        </is>
      </c>
      <c r="C2" s="63" t="n"/>
      <c r="D2" s="198">
        <f>C6</f>
        <v/>
      </c>
      <c r="E2" s="186" t="inlineStr">
        <is>
          <t>Mensgerichte cultuur</t>
        </is>
      </c>
      <c r="F2" s="197" t="inlineStr">
        <is>
          <t>Deze cultuur is typerend voor zorginstellingen en service gerichte organisaties.</t>
        </is>
      </c>
    </row>
    <row r="3">
      <c r="B3" s="8" t="inlineStr">
        <is>
          <t>2. Onderlinge samenhang (wij-gevoel). Participatieve instelling, teamwork, het beste uit elkaar halen.</t>
        </is>
      </c>
      <c r="C3" s="64" t="n"/>
      <c r="D3" s="223" t="n"/>
      <c r="E3" s="215" t="n"/>
      <c r="F3" s="215" t="n"/>
    </row>
    <row r="4">
      <c r="B4" s="8" t="inlineStr">
        <is>
          <t>3. Klanten worden als partners beschouwd.</t>
        </is>
      </c>
      <c r="C4" s="64" t="n"/>
      <c r="D4" s="223" t="n"/>
      <c r="E4" s="215" t="n"/>
      <c r="F4" s="215" t="n"/>
    </row>
    <row r="5">
      <c r="B5" s="8" t="inlineStr">
        <is>
          <t>4. Regels en procedures zijn ondergeschikt aan het gevoel een team te zijn.</t>
        </is>
      </c>
      <c r="C5" s="64" t="n"/>
      <c r="D5" s="223" t="n"/>
      <c r="E5" s="215" t="n"/>
      <c r="F5" s="215" t="n"/>
    </row>
    <row r="6">
      <c r="B6" s="90" t="n"/>
      <c r="C6" s="65">
        <f>SUM(C2:C5)</f>
        <v/>
      </c>
      <c r="D6" s="223" t="n"/>
      <c r="E6" s="216" t="n"/>
      <c r="F6" s="216" t="n"/>
    </row>
    <row r="7" ht="13.95" customFormat="1" customHeight="1" s="36">
      <c r="A7" s="194" t="n">
        <v>2</v>
      </c>
      <c r="B7" s="8" t="inlineStr">
        <is>
          <t>1. Snel reageren op snel veranderende omstandigheden.</t>
        </is>
      </c>
      <c r="C7" s="66" t="n"/>
      <c r="D7" s="195">
        <f>C11</f>
        <v/>
      </c>
      <c r="E7" s="101" t="n"/>
      <c r="F7" s="100" t="n"/>
    </row>
    <row r="8">
      <c r="A8" s="224" t="n"/>
      <c r="B8" s="8" t="inlineStr">
        <is>
          <t>2. Centraal staan innovatie en vernieuwing zoals de ontwikkeling van nieuwe diensten en producten. Voorbereiding op de toekomst.</t>
        </is>
      </c>
      <c r="C8" s="66" t="n"/>
      <c r="D8" s="223" t="n"/>
      <c r="E8" s="186" t="inlineStr">
        <is>
          <t>Innovatieve cultuur</t>
        </is>
      </c>
      <c r="F8" s="196" t="inlineStr">
        <is>
          <t>Deze cultuur is typerend voor softwarebedrijven, luchtvaart, ruimtevaart e.d.</t>
        </is>
      </c>
    </row>
    <row r="9">
      <c r="A9" s="224" t="n"/>
      <c r="B9" s="8" t="inlineStr">
        <is>
          <t>3. Medewerkers worden gestimuleerd om creatief en flexibel te zijn.</t>
        </is>
      </c>
      <c r="C9" s="66" t="n"/>
      <c r="D9" s="223" t="n"/>
      <c r="E9" s="215" t="n"/>
      <c r="F9" s="215" t="n"/>
    </row>
    <row r="10">
      <c r="A10" s="224" t="n"/>
      <c r="B10" s="8" t="inlineStr">
        <is>
          <t>4. De organisatie is flexibel en kan indien nodig snel een nieuwe vorm aannemen.</t>
        </is>
      </c>
      <c r="C10" s="66" t="n"/>
      <c r="D10" s="223" t="n"/>
      <c r="E10" s="215" t="n"/>
      <c r="F10" s="215" t="n"/>
    </row>
    <row r="11">
      <c r="A11" s="95" t="n"/>
      <c r="B11" s="90" t="n"/>
      <c r="C11" s="65">
        <f>SUM(C7:C10)</f>
        <v/>
      </c>
      <c r="D11" s="97" t="n"/>
      <c r="E11" s="216" t="n"/>
      <c r="F11" s="216" t="n"/>
    </row>
    <row r="12" ht="13.95" customFormat="1" customHeight="1" s="36">
      <c r="A12" s="194" t="n">
        <v>3</v>
      </c>
      <c r="B12" s="8" t="inlineStr">
        <is>
          <t>1. Het centraal staan van procedures en regels.</t>
        </is>
      </c>
      <c r="C12" s="66" t="n"/>
      <c r="D12" s="195">
        <f>C16</f>
        <v/>
      </c>
      <c r="E12" s="101" t="n"/>
      <c r="F12" s="100" t="n"/>
    </row>
    <row r="13">
      <c r="A13" s="224" t="n"/>
      <c r="B13" s="8" t="inlineStr">
        <is>
          <t>2. De leidinggevenden coördineren en organiseren.</t>
        </is>
      </c>
      <c r="C13" s="66" t="n"/>
      <c r="D13" s="223" t="n"/>
      <c r="E13" s="186" t="inlineStr">
        <is>
          <t>Beheersgerichte cultuur</t>
        </is>
      </c>
      <c r="F13" s="196" t="inlineStr">
        <is>
          <t>Deze cultuur is typerend voor overheids- of onderwijsinstellingen.</t>
        </is>
      </c>
    </row>
    <row r="14">
      <c r="A14" s="224" t="n"/>
      <c r="B14" s="8" t="inlineStr">
        <is>
          <t>3. Langetermijndoelen zijn stabiliteit (in stand houden van de organisatie), efficiëntie en voorspelbaarheid.</t>
        </is>
      </c>
      <c r="C14" s="66" t="n"/>
      <c r="D14" s="223" t="n"/>
      <c r="E14" s="215" t="n"/>
      <c r="F14" s="215" t="n"/>
    </row>
    <row r="15">
      <c r="A15" s="224" t="n"/>
      <c r="B15" s="8" t="inlineStr">
        <is>
          <t>4. De organisatie kenmerkt zich door trage besluitvormingsprocessen</t>
        </is>
      </c>
      <c r="C15" s="66" t="n"/>
      <c r="D15" s="223" t="n"/>
      <c r="E15" s="215" t="n"/>
      <c r="F15" s="215" t="n"/>
    </row>
    <row r="16">
      <c r="A16" s="95" t="n"/>
      <c r="B16" s="90" t="n"/>
      <c r="C16" s="65">
        <f>SUM(C12:C15)</f>
        <v/>
      </c>
      <c r="D16" s="97" t="n"/>
      <c r="E16" s="216" t="n"/>
      <c r="F16" s="216" t="n"/>
    </row>
    <row r="17" ht="13.95" customFormat="1" customHeight="1" s="36">
      <c r="A17" s="194" t="n">
        <v>4</v>
      </c>
      <c r="B17" s="8" t="inlineStr">
        <is>
          <t>1. Centrale waarden zijn productiviteit, resultaten, winst en taakgerichtheid.</t>
        </is>
      </c>
      <c r="C17" s="66" t="n"/>
      <c r="D17" s="195">
        <f>C21</f>
        <v/>
      </c>
      <c r="E17" s="101" t="n"/>
      <c r="F17" s="100" t="n"/>
    </row>
    <row r="18">
      <c r="A18" s="224" t="n"/>
      <c r="B18" s="8" t="inlineStr">
        <is>
          <t>2. De externe positionering wordt benadrukt om de concurrentiepositie te versterken.</t>
        </is>
      </c>
      <c r="C18" s="66" t="n"/>
      <c r="D18" s="223" t="n"/>
      <c r="E18" s="186" t="inlineStr">
        <is>
          <t>Resultaatgerichte cultuur</t>
        </is>
      </c>
      <c r="F18" s="197" t="inlineStr">
        <is>
          <t>Deze cultuur is typerend voor organisaties die zich richten op externe transacties met belanghebbenden (klanten, leveranciers e.d.). De organisatie concurreert met gelijkaardige organisaties.</t>
        </is>
      </c>
    </row>
    <row r="19">
      <c r="A19" s="224" t="n"/>
      <c r="B19" s="8" t="inlineStr">
        <is>
          <t>3. Er is een duidelijk doel aanwezig en er wordt gebruikgemaakt van een agressieve strategie.</t>
        </is>
      </c>
      <c r="C19" s="66" t="n"/>
      <c r="D19" s="223" t="n"/>
      <c r="E19" s="215" t="n"/>
      <c r="F19" s="215" t="n"/>
    </row>
    <row r="20">
      <c r="A20" s="224" t="n"/>
      <c r="B20" s="8" t="inlineStr">
        <is>
          <t>4. Leidinggevenden zijn veeleisend en leggen de nadruk op de marktleider zijn.</t>
        </is>
      </c>
      <c r="C20" s="66" t="n"/>
      <c r="D20" s="223" t="n"/>
      <c r="E20" s="215" t="n"/>
      <c r="F20" s="215" t="n"/>
    </row>
    <row r="21">
      <c r="A21" s="95" t="n"/>
      <c r="B21" s="90" t="n"/>
      <c r="C21" s="67">
        <f>SUM(C17:C20)</f>
        <v/>
      </c>
      <c r="D21" s="97" t="n"/>
      <c r="E21" s="216" t="n"/>
      <c r="F21" s="216" t="n"/>
    </row>
    <row r="22" customFormat="1" s="36">
      <c r="A22" s="96" t="n"/>
      <c r="B22" s="98" t="n"/>
      <c r="C22" s="99" t="n"/>
      <c r="D22" s="189" t="n"/>
      <c r="E22" s="226" t="n"/>
      <c r="F22" s="227" t="n"/>
    </row>
    <row r="23">
      <c r="A23" s="68" t="n"/>
      <c r="B23" s="79" t="n"/>
    </row>
    <row r="24">
      <c r="A24" s="69" t="n"/>
      <c r="B24" s="79" t="n"/>
    </row>
    <row r="25">
      <c r="A25" s="69" t="n"/>
      <c r="B25" s="79" t="n"/>
    </row>
    <row r="26">
      <c r="A26" s="69" t="n"/>
      <c r="B26" s="79" t="n"/>
    </row>
    <row r="27">
      <c r="A27" s="69" t="n"/>
      <c r="B27" s="79" t="n"/>
    </row>
    <row r="28">
      <c r="A28" s="69" t="n"/>
      <c r="B28" s="79" t="n"/>
    </row>
    <row r="29">
      <c r="A29" s="69" t="n"/>
      <c r="B29" s="79" t="n"/>
    </row>
    <row r="30">
      <c r="A30" s="69" t="n"/>
      <c r="B30" s="79" t="n"/>
    </row>
    <row r="31">
      <c r="A31" s="69" t="n"/>
      <c r="B31" s="79" t="n"/>
    </row>
    <row r="32">
      <c r="A32" s="69" t="n"/>
      <c r="B32" s="79" t="n"/>
    </row>
    <row r="33">
      <c r="A33" s="69" t="n"/>
      <c r="B33" s="79" t="n"/>
    </row>
    <row r="34">
      <c r="A34" s="69" t="n"/>
      <c r="B34" s="79" t="n"/>
    </row>
    <row r="35">
      <c r="A35" s="69" t="n"/>
      <c r="B35" s="79" t="n"/>
    </row>
    <row r="36">
      <c r="A36" s="69" t="n"/>
      <c r="B36" s="79" t="n"/>
    </row>
    <row r="37">
      <c r="A37" s="69" t="n"/>
      <c r="B37" s="79" t="n"/>
    </row>
    <row r="38">
      <c r="A38" s="69" t="n"/>
      <c r="B38" s="79" t="n"/>
    </row>
    <row r="39">
      <c r="A39" s="69" t="n"/>
      <c r="B39" s="79" t="n"/>
    </row>
    <row r="40">
      <c r="A40" s="69" t="n"/>
      <c r="B40" s="79" t="n"/>
    </row>
    <row r="41">
      <c r="A41" s="69" t="n"/>
      <c r="B41" s="79" t="n"/>
    </row>
    <row r="42">
      <c r="A42" s="69" t="n"/>
      <c r="B42" s="79" t="n"/>
    </row>
    <row r="43">
      <c r="A43" s="69" t="n"/>
      <c r="B43" s="79" t="n"/>
    </row>
    <row r="44">
      <c r="A44" s="69" t="n"/>
      <c r="B44" s="79" t="n"/>
    </row>
    <row r="45">
      <c r="A45" s="69" t="n"/>
      <c r="B45" s="79" t="n"/>
    </row>
    <row r="46">
      <c r="A46" s="69" t="n"/>
      <c r="B46" s="79" t="n"/>
    </row>
    <row r="47">
      <c r="A47" s="79" t="n"/>
      <c r="B47" s="79" t="n"/>
    </row>
  </sheetData>
  <mergeCells count="17">
    <mergeCell ref="D2:D6"/>
    <mergeCell ref="E18:E21"/>
    <mergeCell ref="E2:E6"/>
    <mergeCell ref="E13:E16"/>
    <mergeCell ref="F2:F6"/>
    <mergeCell ref="F13:F16"/>
    <mergeCell ref="F18:F21"/>
    <mergeCell ref="A7:A10"/>
    <mergeCell ref="D17:D20"/>
    <mergeCell ref="E8:E11"/>
    <mergeCell ref="D12:D15"/>
    <mergeCell ref="A2:A6"/>
    <mergeCell ref="F8:F11"/>
    <mergeCell ref="D22:F22"/>
    <mergeCell ref="A12:A15"/>
    <mergeCell ref="A17:A20"/>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ColWidth="9.109375" defaultRowHeight="13.8"/>
  <cols>
    <col width="15.88671875" bestFit="1" customWidth="1" style="10" min="1" max="1"/>
    <col width="78.6640625" customWidth="1" style="79" min="2" max="3"/>
    <col width="88.33203125" customWidth="1" style="79" min="4" max="4"/>
    <col width="9.109375" customWidth="1" style="79" min="5" max="16384"/>
  </cols>
  <sheetData>
    <row r="1">
      <c r="A1" s="81" t="inlineStr">
        <is>
          <t>Component</t>
        </is>
      </c>
      <c r="B1" s="81" t="inlineStr">
        <is>
          <t>Omschrijving</t>
        </is>
      </c>
      <c r="C1" s="81" t="inlineStr">
        <is>
          <t>Vraagstelling</t>
        </is>
      </c>
      <c r="D1" s="81" t="inlineStr">
        <is>
          <t>Toelichting</t>
        </is>
      </c>
    </row>
    <row r="2" ht="55.2" customHeight="1">
      <c r="A2" s="186" t="inlineStr">
        <is>
          <t>Taakvaardigheid</t>
        </is>
      </c>
      <c r="B2" s="112"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112"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112" t="inlineStr">
        <is>
          <t>a</t>
        </is>
      </c>
    </row>
    <row r="3" customFormat="1" s="36">
      <c r="A3" s="180" t="n"/>
      <c r="B3" s="224" t="n"/>
      <c r="C3" s="180" t="n"/>
      <c r="D3" s="102" t="n"/>
    </row>
    <row r="4" ht="55.2" customHeight="1">
      <c r="A4" s="186" t="inlineStr">
        <is>
          <t>Taakidentiteit</t>
        </is>
      </c>
      <c r="B4" s="112"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112"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112" t="inlineStr">
        <is>
          <t>b</t>
        </is>
      </c>
    </row>
    <row r="5" customFormat="1" s="36">
      <c r="A5" s="180" t="n"/>
      <c r="B5" s="224" t="n"/>
      <c r="C5" s="180" t="n"/>
      <c r="D5" s="102" t="n"/>
    </row>
    <row r="6" ht="55.2" customFormat="1" customHeight="1" s="36">
      <c r="A6" s="186" t="inlineStr">
        <is>
          <t>Taakbetekenis</t>
        </is>
      </c>
      <c r="B6" s="71"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112" t="inlineStr">
        <is>
          <t>Hoe belangrijk vind je het dat je werk een merkbare invloed heeft op het leven of welzijn van anderen, binnen en/of buiten de organisatie? En in welke mate zou je idealiter willen dat jouw werk impact heeft op anderen?</t>
        </is>
      </c>
      <c r="D6" s="112" t="inlineStr">
        <is>
          <t>c</t>
        </is>
      </c>
    </row>
    <row r="7" customFormat="1" s="36">
      <c r="A7" s="179" t="n"/>
      <c r="B7" s="180" t="n"/>
      <c r="C7" s="180" t="n"/>
      <c r="D7" s="102" t="n"/>
    </row>
    <row r="8" ht="82.8" customHeight="1">
      <c r="A8" s="186" t="inlineStr">
        <is>
          <t>Autonomie</t>
        </is>
      </c>
      <c r="B8" s="112"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112" t="inlineStr">
        <is>
          <t>Hoe belangrijk vind je het om in je werk zelf te kunnen bepalen hoe en wanneer je taken uitvoert, zonder dat alles strak voorgeschreven is? En hoeveel vrijheid zou je idealiter willen hebben in het plannen en uitvoeren van je werk?</t>
        </is>
      </c>
      <c r="D8" s="112" t="inlineStr">
        <is>
          <t>d</t>
        </is>
      </c>
    </row>
    <row r="9" customFormat="1" s="36">
      <c r="A9" s="180" t="n"/>
      <c r="B9" s="224" t="n"/>
      <c r="C9" s="180" t="n"/>
      <c r="D9" s="102" t="n"/>
    </row>
    <row r="10" ht="69" customHeight="1">
      <c r="A10" s="186" t="inlineStr">
        <is>
          <t>Feedback</t>
        </is>
      </c>
      <c r="B10" s="112"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112" t="inlineStr">
        <is>
          <t>Hoe belangrijk vind je het om duidelijke en bruikbare feedback te krijgen over hoe goed je je werk doet? En in welke mate zou je idealiter op de hoogte willen zijn van het effect van je werk en van punten waarop je jezelf kunt verbeteren?</t>
        </is>
      </c>
      <c r="D10" s="112" t="inlineStr">
        <is>
          <t>e</t>
        </is>
      </c>
    </row>
    <row r="11" customFormat="1" s="36">
      <c r="A11" s="199" t="n"/>
      <c r="B11" s="213" t="n"/>
      <c r="C11" s="213" t="n"/>
      <c r="D11" s="214" t="n"/>
    </row>
  </sheetData>
  <mergeCells count="4">
    <mergeCell ref="A9:B9"/>
    <mergeCell ref="A3:B3"/>
    <mergeCell ref="A5:B5"/>
    <mergeCell ref="A11:D11"/>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47" min="1" max="1"/>
    <col width="123.109375" customWidth="1" style="47" min="2" max="2"/>
    <col width="14.44140625" bestFit="1" customWidth="1" style="47" min="3" max="3"/>
    <col width="62" bestFit="1" customWidth="1" style="47" min="4" max="4"/>
    <col width="9.109375" customWidth="1" style="47" min="5" max="16384"/>
  </cols>
  <sheetData>
    <row r="1">
      <c r="A1" s="46" t="inlineStr">
        <is>
          <t>* Selecteer optie in uitvouwmenu</t>
        </is>
      </c>
    </row>
    <row r="2">
      <c r="A2" s="233" t="inlineStr">
        <is>
          <t>Fase 1.0 | Loopbaanfase</t>
        </is>
      </c>
      <c r="B2" s="214" t="n"/>
    </row>
    <row r="3" ht="45.75" customHeight="1">
      <c r="A3" s="234"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214" t="n"/>
    </row>
    <row r="4">
      <c r="A4" s="105" t="inlineStr">
        <is>
          <t>Loopbaan fase *</t>
        </is>
      </c>
      <c r="B4" s="48" t="n"/>
    </row>
    <row r="5">
      <c r="A5" s="233" t="inlineStr">
        <is>
          <t>Fase 1.1 | Big Five Persoonlijkheidsdimensies</t>
        </is>
      </c>
      <c r="B5" s="214" t="n"/>
    </row>
    <row r="6" ht="49.5" customHeight="1">
      <c r="A6" s="234"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214" t="n"/>
    </row>
    <row r="7" ht="158.4" customHeight="1">
      <c r="A7" s="183" t="inlineStr">
        <is>
          <t>Extraversie *</t>
        </is>
      </c>
      <c r="B7" s="49"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84" t="inlineStr">
        <is>
          <t>Altruïsme *</t>
        </is>
      </c>
      <c r="B8" s="25" t="n"/>
    </row>
    <row r="9">
      <c r="A9" s="185" t="inlineStr">
        <is>
          <t>Consciëntieusheid *</t>
        </is>
      </c>
      <c r="B9" s="45" t="n"/>
    </row>
    <row r="10">
      <c r="A10" s="168" t="inlineStr">
        <is>
          <t>Neuroticisme *</t>
        </is>
      </c>
      <c r="B10" s="110" t="n"/>
    </row>
    <row r="11">
      <c r="A11" s="168" t="inlineStr">
        <is>
          <t>Openheid *</t>
        </is>
      </c>
      <c r="B11" s="110" t="n"/>
    </row>
    <row r="12">
      <c r="A12" s="233" t="inlineStr">
        <is>
          <t>Fase 2.0 | Loopbaanankers</t>
        </is>
      </c>
      <c r="B12" s="214" t="n"/>
    </row>
    <row r="13" ht="46.5" customHeight="1">
      <c r="A13" s="234"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214" t="n"/>
    </row>
    <row r="14">
      <c r="A14" s="183" t="inlineStr">
        <is>
          <t>Hoogste score 1 *</t>
        </is>
      </c>
      <c r="B14" s="49" t="n"/>
    </row>
    <row r="15">
      <c r="A15" s="184" t="inlineStr">
        <is>
          <t>Hoogste score 2 *</t>
        </is>
      </c>
      <c r="B15" s="25" t="n"/>
    </row>
    <row r="16">
      <c r="A16" s="233" t="inlineStr">
        <is>
          <t>Fase 2.1 | Carriere Clusters</t>
        </is>
      </c>
      <c r="B16" s="214" t="n"/>
    </row>
    <row r="17" ht="32.25" customHeight="1">
      <c r="A17" s="234"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214" t="n"/>
    </row>
    <row r="18">
      <c r="A18" s="184" t="inlineStr">
        <is>
          <t>Hoogste score 1 *</t>
        </is>
      </c>
      <c r="B18" s="25" t="n"/>
    </row>
    <row r="19">
      <c r="A19" s="184" t="inlineStr">
        <is>
          <t>Hoogste score 2 *</t>
        </is>
      </c>
      <c r="B19" s="25" t="n"/>
    </row>
    <row r="20">
      <c r="A20" s="200" t="inlineStr">
        <is>
          <t>Fase 2.2 | Cultuur analyse</t>
        </is>
      </c>
      <c r="B20" s="219" t="n"/>
    </row>
    <row r="21" ht="62.25" customHeight="1">
      <c r="A21" s="23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220" t="n"/>
    </row>
    <row r="22">
      <c r="A22" s="184" t="inlineStr">
        <is>
          <t>Hoogste score 1 *</t>
        </is>
      </c>
      <c r="B22" s="25" t="n"/>
    </row>
    <row r="23">
      <c r="A23" s="184" t="inlineStr">
        <is>
          <t>Hoogste score 2 *</t>
        </is>
      </c>
      <c r="B23" s="25" t="n"/>
    </row>
    <row r="24">
      <c r="A24" s="200" t="inlineStr">
        <is>
          <t>Fase 2.3 | J.C.M.</t>
        </is>
      </c>
      <c r="B24" s="219" t="n"/>
    </row>
    <row r="25">
      <c r="A25" s="236"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220" t="n"/>
    </row>
    <row r="26">
      <c r="A26" s="223" t="n"/>
      <c r="B26" s="224" t="n"/>
    </row>
    <row r="27" ht="277.5" customHeight="1">
      <c r="A27" s="225" t="n"/>
      <c r="B27" s="227" t="n"/>
    </row>
    <row r="28">
      <c r="A28" s="109" t="inlineStr">
        <is>
          <t>Taakvaardigheid</t>
        </is>
      </c>
      <c r="B28" s="80" t="inlineStr">
        <is>
          <t>Dit is een test.</t>
        </is>
      </c>
    </row>
    <row r="29">
      <c r="A29" s="109" t="inlineStr">
        <is>
          <t>Taakidentiteit</t>
        </is>
      </c>
      <c r="B29" s="80" t="n"/>
    </row>
    <row r="30">
      <c r="A30" s="109" t="inlineStr">
        <is>
          <t>Taakbetekenis</t>
        </is>
      </c>
      <c r="B30" s="80" t="n"/>
    </row>
    <row r="31">
      <c r="A31" s="109" t="inlineStr">
        <is>
          <t>Autonomie</t>
        </is>
      </c>
      <c r="B31" s="80" t="n"/>
    </row>
    <row r="32">
      <c r="A32" s="109" t="inlineStr">
        <is>
          <t>Feedback</t>
        </is>
      </c>
      <c r="B32" s="80" t="n"/>
    </row>
  </sheetData>
  <mergeCells count="12">
    <mergeCell ref="A20:B20"/>
    <mergeCell ref="A21:B21"/>
    <mergeCell ref="A24:B24"/>
    <mergeCell ref="A2:B2"/>
    <mergeCell ref="A16:B16"/>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44" min="1" max="1"/>
    <col width="70.6640625" customWidth="1" style="47" min="2" max="3"/>
    <col width="50.6640625" customWidth="1" style="47" min="4" max="5"/>
    <col width="9.109375" customWidth="1" style="47" min="6" max="16384"/>
  </cols>
  <sheetData>
    <row r="1">
      <c r="A1" s="44" t="inlineStr">
        <is>
          <t>Cliënt</t>
        </is>
      </c>
    </row>
    <row r="2">
      <c r="A2" s="44" t="inlineStr">
        <is>
          <t>Overheid</t>
        </is>
      </c>
    </row>
    <row r="4">
      <c r="A4" s="44" t="inlineStr">
        <is>
          <t>TAM 1 | Van betaalde arbeid naar betaalde arbeid</t>
        </is>
      </c>
    </row>
    <row r="5">
      <c r="A5" s="44" t="inlineStr">
        <is>
          <t>TAM 2 | Van werkloosheid, arbeidsongeschiktheid, inactiviteit naar betaalde arbeid</t>
        </is>
      </c>
    </row>
    <row r="6">
      <c r="A6" s="44" t="inlineStr">
        <is>
          <t>TAM 3 | Van scholing naar betaalde arbeid</t>
        </is>
      </c>
    </row>
    <row r="7">
      <c r="A7" s="44" t="inlineStr">
        <is>
          <t>TAM 4 | Van zorg/huishouden naar betaalde arbeid</t>
        </is>
      </c>
    </row>
    <row r="8">
      <c r="A8" s="44" t="inlineStr">
        <is>
          <t>TAM 5 | Van uittreding naar betaalde arbeid</t>
        </is>
      </c>
    </row>
    <row r="10">
      <c r="A10" s="23" t="inlineStr">
        <is>
          <t>Integratie Prognose Model &amp; Functioneel arbeidsmarktadvies</t>
        </is>
      </c>
    </row>
    <row r="11">
      <c r="A11" s="23" t="inlineStr">
        <is>
          <t xml:space="preserve">Beroeps- of loopbaan onderzoek &amp; Beroeps- of loopbaankeuze advies </t>
        </is>
      </c>
    </row>
    <row r="12">
      <c r="A12" s="23" t="inlineStr">
        <is>
          <t>Personal Training &amp; Voedingsoptiek</t>
        </is>
      </c>
    </row>
    <row r="13" ht="28.8" customHeight="1">
      <c r="A13" s="23" t="inlineStr">
        <is>
          <t xml:space="preserve">Integratie Prognose Model &amp; Functioneel arbeidsmarktadvies | Beroeps- of loopbaan onderzoek &amp; Beroeps- of loopbaankeuze advies </t>
        </is>
      </c>
    </row>
    <row r="14" ht="43.2" customHeight="1">
      <c r="A14" s="23" t="inlineStr">
        <is>
          <t>Integratie Prognose Model &amp; Functioneel arbeidsmarktadvies | Beroeps- of loopbaan onderzoek &amp; Beroeps- of loopbaankeuze advies | Personal Training &amp; Voedingsoptiek</t>
        </is>
      </c>
    </row>
    <row r="15" ht="28.8" customHeight="1">
      <c r="A15" s="44" t="inlineStr">
        <is>
          <t>Beroeps- of loopbaan onderzoek &amp; Beroeps- of loopbaankeuze advies | Personal Training &amp; Voedingsoptiek</t>
        </is>
      </c>
    </row>
    <row r="16">
      <c r="A16" s="23" t="n"/>
    </row>
    <row r="17" ht="100.8" customHeight="1">
      <c r="A17" s="44"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8" customHeight="1">
      <c r="A18" s="44"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8" customHeight="1">
      <c r="A19" s="44"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44"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44"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8" customHeight="1">
      <c r="A22" s="42"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8" customHeight="1">
      <c r="A23" s="44"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23"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44"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44"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42"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44"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44"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8" customHeight="1">
      <c r="A27" s="22"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44"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44"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22"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44"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44"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23"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44"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44"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8" customHeight="1">
      <c r="A31" s="44"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44"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8" customHeight="1">
      <c r="A33" s="44"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8" customHeight="1">
      <c r="A34" s="44"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44"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44"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44"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44"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44"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44"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8" customHeight="1">
      <c r="A42" s="44"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44"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44"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44"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8" customHeight="1">
      <c r="A46" s="44"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44"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8" customHeight="1">
      <c r="A48" s="44"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8" customHeight="1">
      <c r="A49" s="44"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44"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8" customHeight="1">
      <c r="A51" s="44"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44"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44" t="inlineStr">
        <is>
          <t>Financiën</t>
        </is>
      </c>
    </row>
    <row r="55">
      <c r="A55" s="44" t="inlineStr">
        <is>
          <t>Gezondheid</t>
        </is>
      </c>
    </row>
    <row r="56">
      <c r="A56" s="44" t="inlineStr">
        <is>
          <t>Personalia</t>
        </is>
      </c>
    </row>
    <row r="57">
      <c r="A57" s="44" t="inlineStr">
        <is>
          <t>Leefsituatie</t>
        </is>
      </c>
    </row>
    <row r="58">
      <c r="A58" s="44" t="inlineStr">
        <is>
          <t>Kwalificatie</t>
        </is>
      </c>
    </row>
    <row r="59">
      <c r="A59" s="44" t="inlineStr">
        <is>
          <t>Competentie</t>
        </is>
      </c>
    </row>
    <row r="60">
      <c r="A60" s="44" t="inlineStr">
        <is>
          <t>Arbeidsmarkt</t>
        </is>
      </c>
    </row>
    <row r="62">
      <c r="A62" s="44" t="inlineStr">
        <is>
          <t>Basisonderwijs</t>
        </is>
      </c>
    </row>
    <row r="63">
      <c r="A63" s="44" t="inlineStr">
        <is>
          <t>VMBO | Basis beroepsgerichte leerweg</t>
        </is>
      </c>
    </row>
    <row r="64">
      <c r="A64" s="44" t="inlineStr">
        <is>
          <t>VMBO | Kader beroepsgerichte leerweg</t>
        </is>
      </c>
    </row>
    <row r="65">
      <c r="A65" s="44" t="inlineStr">
        <is>
          <t>VMBO | Gemengde leerweg</t>
        </is>
      </c>
    </row>
    <row r="66">
      <c r="A66" s="44" t="inlineStr">
        <is>
          <t>VMBO | Theoretische leerweg</t>
        </is>
      </c>
    </row>
    <row r="67">
      <c r="A67" s="44" t="inlineStr">
        <is>
          <t>HAVO</t>
        </is>
      </c>
    </row>
    <row r="68">
      <c r="A68" s="44" t="inlineStr">
        <is>
          <t>VWO</t>
        </is>
      </c>
    </row>
    <row r="69">
      <c r="A69" s="44" t="inlineStr">
        <is>
          <t>VAVO | Voortgezet Algemeen Volwassenen Onderwijs</t>
        </is>
      </c>
    </row>
    <row r="70">
      <c r="A70" s="44" t="inlineStr">
        <is>
          <t>MBO 1 | Entree opleiding</t>
        </is>
      </c>
    </row>
    <row r="71">
      <c r="A71" s="44" t="inlineStr">
        <is>
          <t>MBO 2 | Basis beroepsopleiding</t>
        </is>
      </c>
    </row>
    <row r="72">
      <c r="A72" s="44" t="inlineStr">
        <is>
          <t>MBO 3 | Vak opleiding</t>
        </is>
      </c>
    </row>
    <row r="73">
      <c r="A73" s="44" t="inlineStr">
        <is>
          <t>MBO 4 | Middenkader opleiding</t>
        </is>
      </c>
    </row>
    <row r="74">
      <c r="A74" s="44" t="inlineStr">
        <is>
          <t>MBO 4 | Specilaisten opleiding</t>
        </is>
      </c>
    </row>
    <row r="75">
      <c r="A75" s="44" t="inlineStr">
        <is>
          <t>HBO 5 | Associate Degree</t>
        </is>
      </c>
    </row>
    <row r="76">
      <c r="A76" s="44" t="inlineStr">
        <is>
          <t>HBO 6 | Bachelor</t>
        </is>
      </c>
    </row>
    <row r="77">
      <c r="A77" s="44" t="inlineStr">
        <is>
          <t>HBO 7 | Master</t>
        </is>
      </c>
    </row>
    <row r="78">
      <c r="A78" s="44" t="inlineStr">
        <is>
          <t>WO | Bachelor</t>
        </is>
      </c>
    </row>
    <row r="79">
      <c r="A79" s="44" t="inlineStr">
        <is>
          <t>WO | Pre-Master</t>
        </is>
      </c>
    </row>
    <row r="80">
      <c r="A80" s="44" t="inlineStr">
        <is>
          <t>WO | Master</t>
        </is>
      </c>
    </row>
    <row r="81">
      <c r="A81" s="44" t="inlineStr">
        <is>
          <t>PhD</t>
        </is>
      </c>
    </row>
    <row r="82">
      <c r="A82" s="44" t="n"/>
    </row>
    <row r="83">
      <c r="A83" s="44" t="inlineStr">
        <is>
          <t>Telefoon</t>
        </is>
      </c>
    </row>
    <row r="84">
      <c r="A84" s="44" t="inlineStr">
        <is>
          <t>E-mail</t>
        </is>
      </c>
    </row>
    <row r="86" ht="72" customHeight="1">
      <c r="A86" s="42"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42"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42"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42"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42"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42"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44"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44"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44"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44"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2025-12-09T09:09:23Z</dcterms:modified>
  <cp:lastModifiedBy>pc</cp:lastModifiedBy>
  <cp:lastPrinted>2018-09-23T18:08:40Z</cp:lastPrinted>
</cp:coreProperties>
</file>